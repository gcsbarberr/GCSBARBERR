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489b0c32349930/Documentos/"/>
    </mc:Choice>
  </mc:AlternateContent>
  <xr:revisionPtr revIDLastSave="1267" documentId="14_{930A363E-994D-4CBB-8DE1-C1C3C6DED11A}" xr6:coauthVersionLast="47" xr6:coauthVersionMax="47" xr10:uidLastSave="{16F7A64F-AF51-45A2-95AC-DD6B21A5F396}"/>
  <bookViews>
    <workbookView xWindow="-108" yWindow="-108" windowWidth="23256" windowHeight="13896" firstSheet="3" activeTab="7" xr2:uid="{6BD55B04-AF1A-4647-9FBC-10EF35E695A3}"/>
  </bookViews>
  <sheets>
    <sheet name="Cronograma" sheetId="4" r:id="rId1"/>
    <sheet name="Cronograma de Actividades" sheetId="7" r:id="rId2"/>
    <sheet name="Requisistos" sheetId="2" r:id="rId3"/>
    <sheet name="Planeacion" sheetId="8" r:id="rId4"/>
    <sheet name="Recursos Humanos" sheetId="3" r:id="rId5"/>
    <sheet name="Recursos Tecnologicos " sheetId="9" r:id="rId6"/>
    <sheet name="Gastos Administrativos" sheetId="10" r:id="rId7"/>
    <sheet name="Estimado total" sheetId="12" r:id="rId8"/>
  </sheets>
  <definedNames>
    <definedName name="_xlnm._FilterDatabase" localSheetId="1" hidden="1">'Cronograma de Actividades'!$A$11:$K$23</definedName>
    <definedName name="_xlnm.Print_Area" localSheetId="1">'Cronograma de Actividades'!$A$1:$FJ$23</definedName>
    <definedName name="prevWBS" localSheetId="1">'Cronograma de Actividades'!$A1048576</definedName>
    <definedName name="_xlnm.Print_Titles" localSheetId="1">'Cronograma de Actividades'!$1:$7</definedName>
    <definedName name="valuevx">42.314159</definedName>
    <definedName name="vertex42_copyright" hidden="1">"© 2006-2018 Vertex42 LLC"</definedName>
    <definedName name="vertex42_id" hidden="1">"gantt-chart_L.xlsx"</definedName>
    <definedName name="vertex42_title" hidden="1">"Gantt Chart Template"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H5" i="3" l="1"/>
  <c r="G10" i="10"/>
  <c r="M7" i="9"/>
  <c r="M8" i="9"/>
  <c r="M9" i="9"/>
  <c r="M10" i="9"/>
  <c r="M11" i="9"/>
  <c r="M12" i="9"/>
  <c r="M13" i="9"/>
  <c r="M6" i="9"/>
  <c r="M14" i="9" s="1"/>
  <c r="B4" i="12"/>
  <c r="B8" i="12" s="1"/>
  <c r="G7" i="10"/>
  <c r="G8" i="10"/>
  <c r="G9" i="10"/>
  <c r="G6" i="10"/>
  <c r="F8" i="9"/>
  <c r="H8" i="3"/>
  <c r="H7" i="3"/>
  <c r="H6" i="3"/>
  <c r="I13" i="7"/>
  <c r="I14" i="7"/>
  <c r="I15" i="7"/>
  <c r="I16" i="7"/>
  <c r="I17" i="7"/>
  <c r="I18" i="7"/>
  <c r="I19" i="7"/>
  <c r="I20" i="7"/>
  <c r="I21" i="7"/>
  <c r="I22" i="7"/>
  <c r="I23" i="7"/>
  <c r="I12" i="7"/>
  <c r="J13" i="7"/>
  <c r="J14" i="7"/>
  <c r="J15" i="7"/>
  <c r="J16" i="7"/>
  <c r="J17" i="7"/>
  <c r="J18" i="7"/>
  <c r="J19" i="7"/>
  <c r="J20" i="7"/>
  <c r="J21" i="7"/>
  <c r="J22" i="7"/>
  <c r="J23" i="7"/>
  <c r="J12" i="7"/>
  <c r="M10" i="7"/>
  <c r="N10" i="7" s="1"/>
  <c r="K12" i="7"/>
  <c r="K13" i="7"/>
  <c r="K15" i="7"/>
  <c r="K17" i="7"/>
  <c r="K23" i="7"/>
  <c r="K22" i="7"/>
  <c r="K21" i="7"/>
  <c r="K20" i="7"/>
  <c r="K19" i="7"/>
  <c r="K18" i="7"/>
  <c r="K16" i="7"/>
  <c r="K14" i="7"/>
  <c r="A12" i="7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G11" i="10" l="1"/>
  <c r="D10" i="9"/>
  <c r="B9" i="12"/>
  <c r="B10" i="12" s="1"/>
  <c r="H9" i="3"/>
  <c r="M8" i="7"/>
  <c r="M11" i="7"/>
  <c r="C8" i="12" l="1"/>
  <c r="C9" i="12"/>
  <c r="C5" i="12"/>
  <c r="C4" i="12"/>
  <c r="C10" i="12"/>
  <c r="C7" i="12"/>
  <c r="C6" i="12"/>
  <c r="O10" i="7"/>
  <c r="N11" i="7"/>
  <c r="P10" i="7" l="1"/>
  <c r="O11" i="7"/>
  <c r="Q10" i="7" l="1"/>
  <c r="P11" i="7"/>
  <c r="R10" i="7" l="1"/>
  <c r="Q11" i="7"/>
  <c r="S10" i="7" l="1"/>
  <c r="R11" i="7"/>
  <c r="T10" i="7" l="1"/>
  <c r="S11" i="7"/>
  <c r="U10" i="7" l="1"/>
  <c r="T11" i="7"/>
  <c r="T8" i="7"/>
  <c r="V10" i="7" l="1"/>
  <c r="U11" i="7"/>
  <c r="W10" i="7" l="1"/>
  <c r="V11" i="7"/>
  <c r="X10" i="7" l="1"/>
  <c r="W11" i="7"/>
  <c r="Y10" i="7" l="1"/>
  <c r="X11" i="7"/>
  <c r="Z10" i="7" l="1"/>
  <c r="Y11" i="7"/>
  <c r="AA10" i="7" l="1"/>
  <c r="Z11" i="7"/>
  <c r="AB10" i="7" l="1"/>
  <c r="AA11" i="7"/>
  <c r="AA8" i="7"/>
  <c r="AC10" i="7" l="1"/>
  <c r="AB11" i="7"/>
  <c r="AD10" i="7" l="1"/>
  <c r="AC11" i="7"/>
  <c r="AE10" i="7" l="1"/>
  <c r="AD11" i="7"/>
  <c r="AF10" i="7" l="1"/>
  <c r="AE11" i="7"/>
  <c r="AG10" i="7" l="1"/>
  <c r="AF11" i="7"/>
  <c r="AH10" i="7" l="1"/>
  <c r="AG11" i="7"/>
  <c r="AI10" i="7" l="1"/>
  <c r="AH11" i="7"/>
  <c r="AH8" i="7"/>
  <c r="AJ10" i="7" l="1"/>
  <c r="AI11" i="7"/>
  <c r="AK10" i="7" l="1"/>
  <c r="AJ11" i="7"/>
  <c r="AL10" i="7" l="1"/>
  <c r="AK11" i="7"/>
  <c r="AM10" i="7" l="1"/>
  <c r="AL11" i="7"/>
  <c r="AN10" i="7" l="1"/>
  <c r="AM11" i="7"/>
  <c r="AO10" i="7" l="1"/>
  <c r="AN11" i="7"/>
  <c r="AP10" i="7" l="1"/>
  <c r="AO11" i="7"/>
  <c r="AO8" i="7"/>
  <c r="AQ10" i="7" l="1"/>
  <c r="AP11" i="7"/>
  <c r="AR10" i="7" l="1"/>
  <c r="AQ11" i="7"/>
  <c r="AS10" i="7" l="1"/>
  <c r="AR11" i="7"/>
  <c r="AT10" i="7" l="1"/>
  <c r="AS11" i="7"/>
  <c r="AU10" i="7" l="1"/>
  <c r="AT11" i="7"/>
  <c r="AV10" i="7" l="1"/>
  <c r="AU11" i="7"/>
  <c r="AW10" i="7" l="1"/>
  <c r="AV11" i="7"/>
  <c r="AV8" i="7"/>
  <c r="AX10" i="7" l="1"/>
  <c r="AW11" i="7"/>
  <c r="AY10" i="7" l="1"/>
  <c r="AX11" i="7"/>
  <c r="AZ10" i="7" l="1"/>
  <c r="AY11" i="7"/>
  <c r="BA10" i="7" l="1"/>
  <c r="AZ11" i="7"/>
  <c r="BB10" i="7" l="1"/>
  <c r="BA11" i="7"/>
  <c r="BC10" i="7" l="1"/>
  <c r="BB11" i="7"/>
  <c r="BD10" i="7" l="1"/>
  <c r="BC11" i="7"/>
  <c r="BC8" i="7"/>
  <c r="BE10" i="7" l="1"/>
  <c r="BD11" i="7"/>
  <c r="BF10" i="7" l="1"/>
  <c r="BE11" i="7"/>
  <c r="BG10" i="7" l="1"/>
  <c r="BF11" i="7"/>
  <c r="BH10" i="7" l="1"/>
  <c r="BG11" i="7"/>
  <c r="BI10" i="7" l="1"/>
  <c r="BJ10" i="7" s="1"/>
  <c r="BH11" i="7"/>
  <c r="BJ11" i="7" l="1"/>
  <c r="BJ8" i="7"/>
  <c r="BK10" i="7"/>
  <c r="BI11" i="7"/>
  <c r="BK11" i="7" l="1"/>
  <c r="BL10" i="7"/>
  <c r="BL11" i="7" l="1"/>
  <c r="BM10" i="7"/>
  <c r="BM11" i="7" l="1"/>
  <c r="BN10" i="7"/>
  <c r="BN11" i="7" l="1"/>
  <c r="BO10" i="7"/>
  <c r="BO11" i="7" l="1"/>
  <c r="BP10" i="7"/>
  <c r="BQ10" i="7" l="1"/>
  <c r="BP11" i="7"/>
  <c r="BR10" i="7" l="1"/>
  <c r="BQ11" i="7"/>
  <c r="BQ8" i="7"/>
  <c r="BR11" i="7" l="1"/>
  <c r="BS10" i="7"/>
  <c r="BS11" i="7" l="1"/>
  <c r="BT10" i="7"/>
  <c r="BT11" i="7" l="1"/>
  <c r="BU10" i="7"/>
  <c r="BU11" i="7" l="1"/>
  <c r="BV10" i="7"/>
  <c r="BV11" i="7" l="1"/>
  <c r="BW10" i="7"/>
  <c r="BX10" i="7" l="1"/>
  <c r="BW11" i="7"/>
  <c r="BY10" i="7" l="1"/>
  <c r="BX11" i="7"/>
  <c r="BX8" i="7"/>
  <c r="BZ10" i="7" l="1"/>
  <c r="BY11" i="7"/>
  <c r="CA10" i="7" l="1"/>
  <c r="BZ11" i="7"/>
  <c r="CA11" i="7" l="1"/>
  <c r="CB10" i="7"/>
  <c r="CB11" i="7" l="1"/>
  <c r="CC10" i="7"/>
  <c r="CC11" i="7" l="1"/>
  <c r="CD10" i="7"/>
  <c r="CE10" i="7" l="1"/>
  <c r="CD11" i="7"/>
  <c r="CF10" i="7" l="1"/>
  <c r="CE8" i="7"/>
  <c r="CE11" i="7"/>
  <c r="CF11" i="7" l="1"/>
  <c r="CG10" i="7"/>
  <c r="CG11" i="7" l="1"/>
  <c r="CH10" i="7"/>
  <c r="CH11" i="7" l="1"/>
  <c r="CI10" i="7"/>
  <c r="CI11" i="7" l="1"/>
  <c r="CJ10" i="7"/>
  <c r="CK10" i="7" l="1"/>
  <c r="CJ11" i="7"/>
  <c r="CL10" i="7" l="1"/>
  <c r="CK11" i="7"/>
  <c r="CM10" i="7" l="1"/>
  <c r="CL8" i="7"/>
  <c r="CL11" i="7"/>
  <c r="CM11" i="7" l="1"/>
  <c r="CN10" i="7"/>
  <c r="CN11" i="7" l="1"/>
  <c r="CO10" i="7"/>
  <c r="CO11" i="7" l="1"/>
  <c r="CP10" i="7"/>
  <c r="CP11" i="7" l="1"/>
  <c r="CQ10" i="7"/>
  <c r="CR10" i="7" l="1"/>
  <c r="CQ11" i="7"/>
  <c r="CS10" i="7" l="1"/>
  <c r="CR11" i="7"/>
  <c r="CT10" i="7" l="1"/>
  <c r="CS11" i="7"/>
  <c r="CS8" i="7"/>
  <c r="CT11" i="7" l="1"/>
  <c r="CU10" i="7"/>
  <c r="CU11" i="7" l="1"/>
  <c r="CV10" i="7"/>
  <c r="CV11" i="7" l="1"/>
  <c r="CW10" i="7"/>
  <c r="CW11" i="7" l="1"/>
  <c r="CX10" i="7"/>
  <c r="CX11" i="7" l="1"/>
  <c r="CY10" i="7"/>
  <c r="CZ10" i="7" l="1"/>
  <c r="CY11" i="7"/>
  <c r="CZ8" i="7" l="1"/>
  <c r="DA10" i="7"/>
  <c r="CZ11" i="7"/>
  <c r="DA11" i="7" l="1"/>
  <c r="DB10" i="7"/>
  <c r="DB11" i="7" l="1"/>
  <c r="DC10" i="7"/>
  <c r="DC11" i="7" l="1"/>
  <c r="DD10" i="7"/>
  <c r="DE10" i="7" l="1"/>
  <c r="DD11" i="7"/>
  <c r="DE11" i="7" l="1"/>
  <c r="DF10" i="7"/>
  <c r="DG10" i="7" l="1"/>
  <c r="DF11" i="7"/>
  <c r="DG8" i="7" l="1"/>
  <c r="DH10" i="7"/>
  <c r="DG11" i="7"/>
  <c r="DH11" i="7" l="1"/>
  <c r="DI10" i="7"/>
  <c r="DI11" i="7" l="1"/>
  <c r="DJ10" i="7"/>
  <c r="DJ11" i="7" l="1"/>
  <c r="DK10" i="7"/>
  <c r="DK11" i="7" l="1"/>
  <c r="DL10" i="7"/>
  <c r="DL11" i="7" l="1"/>
  <c r="DM10" i="7"/>
  <c r="DN10" i="7" l="1"/>
  <c r="DM11" i="7"/>
  <c r="DN8" i="7" l="1"/>
  <c r="DO10" i="7"/>
  <c r="DN11" i="7"/>
  <c r="DO11" i="7" l="1"/>
  <c r="DP10" i="7"/>
  <c r="DP11" i="7" l="1"/>
  <c r="DQ10" i="7"/>
  <c r="DQ11" i="7" l="1"/>
  <c r="DR10" i="7"/>
  <c r="DR11" i="7" l="1"/>
  <c r="DS10" i="7"/>
  <c r="DS11" i="7" l="1"/>
  <c r="DT10" i="7"/>
  <c r="DU10" i="7" l="1"/>
  <c r="DT11" i="7"/>
  <c r="DU8" i="7" l="1"/>
  <c r="DV10" i="7"/>
  <c r="DU11" i="7"/>
  <c r="DV11" i="7" l="1"/>
  <c r="DW10" i="7"/>
  <c r="DW11" i="7" l="1"/>
  <c r="DX10" i="7"/>
  <c r="DX11" i="7" l="1"/>
  <c r="DY10" i="7"/>
  <c r="DZ10" i="7" l="1"/>
  <c r="DY11" i="7"/>
  <c r="DZ11" i="7" l="1"/>
  <c r="EA10" i="7"/>
  <c r="EB10" i="7" l="1"/>
  <c r="EA11" i="7"/>
  <c r="EC10" i="7" l="1"/>
  <c r="EB8" i="7"/>
  <c r="EB11" i="7"/>
  <c r="EC11" i="7" l="1"/>
  <c r="ED10" i="7"/>
  <c r="ED11" i="7" l="1"/>
  <c r="EE10" i="7"/>
  <c r="EE11" i="7" l="1"/>
  <c r="EF10" i="7"/>
  <c r="EF11" i="7" l="1"/>
  <c r="EG10" i="7"/>
  <c r="EG11" i="7" l="1"/>
  <c r="EH10" i="7"/>
  <c r="EI10" i="7" l="1"/>
  <c r="EH11" i="7"/>
  <c r="EJ10" i="7" l="1"/>
  <c r="EI11" i="7"/>
  <c r="EI8" i="7"/>
  <c r="EJ11" i="7" l="1"/>
  <c r="EK10" i="7"/>
  <c r="EK11" i="7" l="1"/>
  <c r="EL10" i="7"/>
  <c r="EL11" i="7" l="1"/>
  <c r="EM10" i="7"/>
  <c r="EM11" i="7" l="1"/>
  <c r="EN10" i="7"/>
  <c r="EN11" i="7" l="1"/>
  <c r="EO10" i="7"/>
  <c r="EP10" i="7" l="1"/>
  <c r="EO11" i="7"/>
  <c r="EQ10" i="7" l="1"/>
  <c r="EP11" i="7"/>
  <c r="EP8" i="7"/>
  <c r="EQ11" i="7" l="1"/>
  <c r="ER10" i="7"/>
  <c r="ER11" i="7" l="1"/>
  <c r="ES10" i="7"/>
  <c r="ES11" i="7" l="1"/>
  <c r="ET10" i="7"/>
  <c r="ET11" i="7" l="1"/>
  <c r="EU10" i="7"/>
  <c r="EU11" i="7" l="1"/>
  <c r="EV10" i="7"/>
  <c r="EW10" i="7" l="1"/>
  <c r="EV11" i="7"/>
  <c r="EX10" i="7" l="1"/>
  <c r="EW11" i="7"/>
  <c r="EW8" i="7"/>
  <c r="EX11" i="7" l="1"/>
  <c r="EY10" i="7"/>
  <c r="EY11" i="7" l="1"/>
  <c r="EZ10" i="7"/>
  <c r="FA10" i="7" l="1"/>
  <c r="EZ11" i="7"/>
  <c r="FA11" i="7" l="1"/>
  <c r="FB10" i="7"/>
  <c r="FB11" i="7" l="1"/>
  <c r="FC10" i="7"/>
  <c r="FD10" i="7" l="1"/>
  <c r="FC11" i="7"/>
  <c r="FD8" i="7" l="1"/>
  <c r="FE10" i="7"/>
  <c r="FD11" i="7"/>
  <c r="FE11" i="7" l="1"/>
  <c r="FF10" i="7"/>
  <c r="FG10" i="7" l="1"/>
  <c r="FF11" i="7"/>
  <c r="FH10" i="7" l="1"/>
  <c r="FG11" i="7"/>
  <c r="FH11" i="7" l="1"/>
  <c r="FI10" i="7"/>
  <c r="FI11" i="7" l="1"/>
  <c r="FJ10" i="7"/>
  <c r="FJ11" i="7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<sst xmlns="http://schemas.openxmlformats.org/spreadsheetml/2006/main" count="479" uniqueCount="319">
  <si>
    <t>Organismo</t>
  </si>
  <si>
    <t>Proyecto</t>
  </si>
  <si>
    <t>Entregable</t>
  </si>
  <si>
    <t>Autor</t>
  </si>
  <si>
    <t>Version / Edicion</t>
  </si>
  <si>
    <t>Aprovado Por</t>
  </si>
  <si>
    <t>SENA</t>
  </si>
  <si>
    <t>APPWED - Sistema de Informacion Web</t>
  </si>
  <si>
    <t>Cronograma de Actividades</t>
  </si>
  <si>
    <t>Edwin Albeiro Ramos Villamil</t>
  </si>
  <si>
    <t>Fecha Version</t>
  </si>
  <si>
    <t>Fecha Aprobacion</t>
  </si>
  <si>
    <t>N° Total de Paguinas</t>
  </si>
  <si>
    <t>HOJA DE CONTROL</t>
  </si>
  <si>
    <t>GESTIÓN DE CITAS Y SERVICIOS</t>
  </si>
  <si>
    <t>GCS</t>
  </si>
  <si>
    <t>REGISTRO DE CAMBIOS</t>
  </si>
  <si>
    <t>Version</t>
  </si>
  <si>
    <t>Causa del cambio</t>
  </si>
  <si>
    <t>Responsable del Cambio</t>
  </si>
  <si>
    <t>Fecha del cambio</t>
  </si>
  <si>
    <t>Inicio del Documento</t>
  </si>
  <si>
    <t>Daiver Andrey Sanchez Gomez</t>
  </si>
  <si>
    <t>Control de Distribucion</t>
  </si>
  <si>
    <t>Nombtre y apellidos</t>
  </si>
  <si>
    <t>Juan Sebastian Chaparro Ramirez</t>
  </si>
  <si>
    <t>Santiago Alejandro Pinzon Robles</t>
  </si>
  <si>
    <t>Sebastian Martinez</t>
  </si>
  <si>
    <t>Delete</t>
  </si>
  <si>
    <t>Update</t>
  </si>
  <si>
    <t>Read</t>
  </si>
  <si>
    <t>Create</t>
  </si>
  <si>
    <t>CRUD</t>
  </si>
  <si>
    <t>Objetivo especifico</t>
  </si>
  <si>
    <t>Modulos</t>
  </si>
  <si>
    <t>Caso de uso</t>
  </si>
  <si>
    <t>Clientes</t>
  </si>
  <si>
    <t>Registrar cliente</t>
  </si>
  <si>
    <t>Consultar Cliente</t>
  </si>
  <si>
    <t>Actualizar Informacion</t>
  </si>
  <si>
    <t>Citas</t>
  </si>
  <si>
    <t>consulltar Disponibilidad</t>
  </si>
  <si>
    <t>Crear Citas</t>
  </si>
  <si>
    <t>Historial de Servicios</t>
  </si>
  <si>
    <t>Modificar Cita</t>
  </si>
  <si>
    <t>Cancelar Citas</t>
  </si>
  <si>
    <t>Barberos</t>
  </si>
  <si>
    <t>Registrar Barberos</t>
  </si>
  <si>
    <t>Horarios</t>
  </si>
  <si>
    <t>Servicios Asignados</t>
  </si>
  <si>
    <t>Servicios</t>
  </si>
  <si>
    <t>Registrar Servicio</t>
  </si>
  <si>
    <t>Ventas/Pagos Registrar Pago</t>
  </si>
  <si>
    <t>Historial de ventas</t>
  </si>
  <si>
    <t>Total de ventas</t>
  </si>
  <si>
    <t>Administrador</t>
  </si>
  <si>
    <t>Dashboard</t>
  </si>
  <si>
    <t>Usuarios</t>
  </si>
  <si>
    <t>Reportes</t>
  </si>
  <si>
    <t>Configuracion</t>
  </si>
  <si>
    <t xml:space="preserve">Fase de Calidad: Validar el sistema mediante pruebas de software </t>
  </si>
  <si>
    <t xml:space="preserve">Fase de Implementación: Desplegar la solución en un entorno productivo </t>
  </si>
  <si>
    <t xml:space="preserve">Fase de Análisis: Caracterizar los flujos de información </t>
  </si>
  <si>
    <t>Fase de Diseño: Diseñar la arquitectura de software y la interfaz de usuario</t>
  </si>
  <si>
    <t xml:space="preserve">Fase de Desarrollo: Construir los módulos funcionales del sistema </t>
  </si>
  <si>
    <t>Administardor</t>
  </si>
  <si>
    <t>Barbero</t>
  </si>
  <si>
    <t>Cliente</t>
  </si>
  <si>
    <t>Prioriodad</t>
  </si>
  <si>
    <t>x</t>
  </si>
  <si>
    <t>Fecha Inicio Proyecto</t>
  </si>
  <si>
    <t>Semana</t>
  </si>
  <si>
    <t>Líder del Proyecto</t>
  </si>
  <si>
    <t>EDWIN ALBEIRO RAMOS VILLAMIL</t>
  </si>
  <si>
    <t>ITEM</t>
  </si>
  <si>
    <t>ACTIVIDAD</t>
  </si>
  <si>
    <t>COMPETENCIA</t>
  </si>
  <si>
    <t>EVIDENCIA</t>
  </si>
  <si>
    <t>RESPONSABLE</t>
  </si>
  <si>
    <t>PREDECESSOR</t>
  </si>
  <si>
    <t>INICIO</t>
  </si>
  <si>
    <t>FIN</t>
  </si>
  <si>
    <t>DÍAS</t>
  </si>
  <si>
    <t>%</t>
  </si>
  <si>
    <t>LAB</t>
  </si>
  <si>
    <t>Optimizar los resultados, de acuerdo con la verificación</t>
  </si>
  <si>
    <t>Sistema Control de Versiones (Github)</t>
  </si>
  <si>
    <t>Caracterizar los procesos de la organización de acuerdo con el software a construir.</t>
  </si>
  <si>
    <t>Mapa de Procesos
Diagrama de Procesos (BPMN)</t>
  </si>
  <si>
    <t>Recolectar información del software a construir de acuerdo con las necesidades del cliente.</t>
  </si>
  <si>
    <t>Planeación de la recolección, 
procesamiento y análisis de datos</t>
  </si>
  <si>
    <t>Establecer los requisitos del software de acuerdo con la información recolectada.</t>
  </si>
  <si>
    <t>Documento IEEE-830 ó
Documento Historias de Usuario</t>
  </si>
  <si>
    <t>Validar el informe de requisitos de acuerdo con las necesidades del cliente.</t>
  </si>
  <si>
    <t>Lista(s) de chequeo para 
validar los requisitos con el cliente</t>
  </si>
  <si>
    <t>Planear actividades de análisis de acuerdo con la metodología seleccionada.</t>
  </si>
  <si>
    <t>Cronograma de Actividades
(Diagrama de Gantt)</t>
  </si>
  <si>
    <t>Modelar las funciones del software de acuerdo con el informe de requisitos.</t>
  </si>
  <si>
    <t>Diagrama de casos de uso
Diagrama de actividades
Casos de uso extendido
Modelo de dominio del Sistema
Modelo Entidad Relación</t>
  </si>
  <si>
    <t>Desarrollar procesos lógicos a través de la implementación de algoritmos.</t>
  </si>
  <si>
    <t>Codificación Mod-Usuario_RF (PE_POO)</t>
  </si>
  <si>
    <t>Verificar los modelos realizados en la fase de análisis de acuerdo con lo establecido en el informe de requisitos.</t>
  </si>
  <si>
    <t>WireFrames
Documento de Análisis del Sistema</t>
  </si>
  <si>
    <t>Definir especificaciones técnicas del software de acuerdo con las características del software a construir.</t>
  </si>
  <si>
    <t>Ficha Técnica</t>
  </si>
  <si>
    <t>Elaborar propuesta técnica del software de acuerdo con las especificaciones técnicas definidas.</t>
  </si>
  <si>
    <t>Propuesta Técnica
Informe de Costos</t>
  </si>
  <si>
    <t>Validar las condiciones de la propuesta técnica del software de acuerdo con los intereses de las partes.</t>
  </si>
  <si>
    <t>Contrato de Software</t>
  </si>
  <si>
    <t>Santiago pinzon</t>
  </si>
  <si>
    <t>Sebastian chaparro</t>
  </si>
  <si>
    <t>Daiver sanchez</t>
  </si>
  <si>
    <t>Sebastian martinez</t>
  </si>
  <si>
    <t>Santigo pinzon</t>
  </si>
  <si>
    <t>Registrar pago</t>
  </si>
  <si>
    <t>Consultar Metodo de Pago</t>
  </si>
  <si>
    <t>Create/Update/Delete</t>
  </si>
  <si>
    <t>Gestionar Estado</t>
  </si>
  <si>
    <t>Gestionar Duracion</t>
  </si>
  <si>
    <t>Gestionar Precio</t>
  </si>
  <si>
    <t>Alta</t>
  </si>
  <si>
    <t>Media</t>
  </si>
  <si>
    <t>N°</t>
  </si>
  <si>
    <t>CU-01</t>
  </si>
  <si>
    <t>CU-02</t>
  </si>
  <si>
    <t>CU-03</t>
  </si>
  <si>
    <t>CU-04</t>
  </si>
  <si>
    <t>CU-05</t>
  </si>
  <si>
    <t>CU-06</t>
  </si>
  <si>
    <t>CU-07</t>
  </si>
  <si>
    <t>CU-08</t>
  </si>
  <si>
    <t>CU-09</t>
  </si>
  <si>
    <t>CU-10</t>
  </si>
  <si>
    <t>CU-11</t>
  </si>
  <si>
    <t>CU-12</t>
  </si>
  <si>
    <t>CU-13</t>
  </si>
  <si>
    <t>CU-14</t>
  </si>
  <si>
    <t>CU-15</t>
  </si>
  <si>
    <t>CU-16</t>
  </si>
  <si>
    <t>CU-17</t>
  </si>
  <si>
    <t>CU-18</t>
  </si>
  <si>
    <t>CU-19</t>
  </si>
  <si>
    <t>CU-20</t>
  </si>
  <si>
    <t>CU-21</t>
  </si>
  <si>
    <t>CU-22</t>
  </si>
  <si>
    <t>CU-23</t>
  </si>
  <si>
    <t xml:space="preserve">Recursos Humanos </t>
  </si>
  <si>
    <t>Item</t>
  </si>
  <si>
    <t xml:space="preserve">Profesional </t>
  </si>
  <si>
    <t>Cantidad</t>
  </si>
  <si>
    <t>Salario Real</t>
  </si>
  <si>
    <t>Tester</t>
  </si>
  <si>
    <t>Actividad</t>
  </si>
  <si>
    <t xml:space="preserve">Evidenvia </t>
  </si>
  <si>
    <t xml:space="preserve">Responsable </t>
  </si>
  <si>
    <t>Inicio</t>
  </si>
  <si>
    <t>Fin</t>
  </si>
  <si>
    <t>Avance</t>
  </si>
  <si>
    <t>1.1</t>
  </si>
  <si>
    <t>Mapa de procesos</t>
  </si>
  <si>
    <t>1.2</t>
  </si>
  <si>
    <t>1.3</t>
  </si>
  <si>
    <t>2.1</t>
  </si>
  <si>
    <t>2.2</t>
  </si>
  <si>
    <t>2.3</t>
  </si>
  <si>
    <t>2.4</t>
  </si>
  <si>
    <t>3.1</t>
  </si>
  <si>
    <t>3.2</t>
  </si>
  <si>
    <t>3.3</t>
  </si>
  <si>
    <t>3.4</t>
  </si>
  <si>
    <t>4.1</t>
  </si>
  <si>
    <t>4.2</t>
  </si>
  <si>
    <t>4.3</t>
  </si>
  <si>
    <t>4.4</t>
  </si>
  <si>
    <t>5.1</t>
  </si>
  <si>
    <t>5.2</t>
  </si>
  <si>
    <t>5.3</t>
  </si>
  <si>
    <t>5.4</t>
  </si>
  <si>
    <t>Informe final</t>
  </si>
  <si>
    <t>6.1</t>
  </si>
  <si>
    <t>6.2</t>
  </si>
  <si>
    <t>6.3</t>
  </si>
  <si>
    <t>6.4</t>
  </si>
  <si>
    <t>Horas diarias</t>
  </si>
  <si>
    <t>Precio hora</t>
  </si>
  <si>
    <t>Total</t>
  </si>
  <si>
    <t>Recursos Tecnologicos</t>
  </si>
  <si>
    <t>1. RECURSOS DE HARDWARE</t>
  </si>
  <si>
    <t>DESCRIPCIÓN</t>
  </si>
  <si>
    <t>SUBTOTAL HARDWARE</t>
  </si>
  <si>
    <t>CANTIDAD</t>
  </si>
  <si>
    <t>ESPECIFICACIÓN</t>
  </si>
  <si>
    <t>COSTO UNITARIO</t>
  </si>
  <si>
    <t>COSTO TOTAL</t>
  </si>
  <si>
    <t>2. RECURSOS DE SOFTWARE</t>
  </si>
  <si>
    <t>Base de Datos (Cloud PostgreSQL)</t>
  </si>
  <si>
    <t>2.5</t>
  </si>
  <si>
    <t>2.6</t>
  </si>
  <si>
    <t>2.7</t>
  </si>
  <si>
    <t>2.8</t>
  </si>
  <si>
    <t>SUBTOTAL SOFTWARE</t>
  </si>
  <si>
    <t>SUBTOTAL GASTOS ADMINISTRATIVOS</t>
  </si>
  <si>
    <t>ESTIMADO TOTAL</t>
  </si>
  <si>
    <t>CONCEPTO</t>
  </si>
  <si>
    <t>VALOR</t>
  </si>
  <si>
    <t>PORCENTAJE</t>
  </si>
  <si>
    <t>SUB-TOTAL DEL PROYECTO</t>
  </si>
  <si>
    <t>Recursos Profesionales</t>
  </si>
  <si>
    <t>Recursos Tecnológicos</t>
  </si>
  <si>
    <t>Gastos Administrativos</t>
  </si>
  <si>
    <t>IMPREVISTOS</t>
  </si>
  <si>
    <t>GANANCIA</t>
  </si>
  <si>
    <t>COSTO TOTAL DEL PROYECTO</t>
  </si>
  <si>
    <t xml:space="preserve">Recoleccion de datos para determinar la necesidad del cliente </t>
  </si>
  <si>
    <t>Elaborar los mapas de procesos</t>
  </si>
  <si>
    <t>Elaborar los diagramas de procesos</t>
  </si>
  <si>
    <t>Productos</t>
  </si>
  <si>
    <t>Registrar producto</t>
  </si>
  <si>
    <t>Validar  listado de productos</t>
  </si>
  <si>
    <t>Gestionar salida de producto</t>
  </si>
  <si>
    <t>Actulizar listado de Productos</t>
  </si>
  <si>
    <t>CU-24</t>
  </si>
  <si>
    <t>CU-25</t>
  </si>
  <si>
    <t>CU-26</t>
  </si>
  <si>
    <t>CU-27</t>
  </si>
  <si>
    <t>Documento de analiisis</t>
  </si>
  <si>
    <t>Diagrama deprocesos</t>
  </si>
  <si>
    <t>Elaborar un informe de especificacion de quisisitos del Software</t>
  </si>
  <si>
    <t>Documento IEEE_830</t>
  </si>
  <si>
    <t>1.5</t>
  </si>
  <si>
    <t>Especificacion de requisistos</t>
  </si>
  <si>
    <t>Analisis de la especificacion de requisitos</t>
  </si>
  <si>
    <t>Diagrama de casos de uso</t>
  </si>
  <si>
    <t>Elaborar la plantilla de casos de uso extendido</t>
  </si>
  <si>
    <t>Elaborar un analisis funcional</t>
  </si>
  <si>
    <t>Casos de uso extendidos</t>
  </si>
  <si>
    <t>Analisis funcional</t>
  </si>
  <si>
    <t>Elaborar  el Modelo entidad relacion</t>
  </si>
  <si>
    <t>Modelo entidad relacion</t>
  </si>
  <si>
    <t>Elaboracion de propuesta Tecnica</t>
  </si>
  <si>
    <t>Definir la solución tecnológica</t>
  </si>
  <si>
    <t>Establecer alcance y recursos</t>
  </si>
  <si>
    <t>Definir tiempos y costos</t>
  </si>
  <si>
    <t>Consolidar la propuesta</t>
  </si>
  <si>
    <t>Propuesta tecnicas</t>
  </si>
  <si>
    <t>Documento de alcance y recursos</t>
  </si>
  <si>
    <t>Cronograma y presupuestos</t>
  </si>
  <si>
    <t>Propuesta tecnica final</t>
  </si>
  <si>
    <t>Modelo de los artefactos</t>
  </si>
  <si>
    <t>Definir solucion tecnica</t>
  </si>
  <si>
    <t>Diseñar la arquitectura del sistema</t>
  </si>
  <si>
    <t>Seleccionar teecnologias</t>
  </si>
  <si>
    <t>Estimar recursos y costos</t>
  </si>
  <si>
    <t>Propueta Tecnica</t>
  </si>
  <si>
    <t>Diagrama de Arquitectura</t>
  </si>
  <si>
    <t>Matriz Tecnologica</t>
  </si>
  <si>
    <t>Propuesta de costos</t>
  </si>
  <si>
    <t>Construccion de Software</t>
  </si>
  <si>
    <t>Desarrollar  funcionalidades</t>
  </si>
  <si>
    <t>Codigo fuente</t>
  </si>
  <si>
    <t>Integrar modulos del sistema</t>
  </si>
  <si>
    <t>Informe de integracion</t>
  </si>
  <si>
    <t>Implementar la base de datos</t>
  </si>
  <si>
    <t>Base de datos</t>
  </si>
  <si>
    <t>Verificar el funcionamiento</t>
  </si>
  <si>
    <t>Informe de pruebas</t>
  </si>
  <si>
    <t>Implantacion del software</t>
  </si>
  <si>
    <t>Instalar el software</t>
  </si>
  <si>
    <t>Registro de instalacion</t>
  </si>
  <si>
    <t>Configurar el sistema</t>
  </si>
  <si>
    <t>Informe de configuracion</t>
  </si>
  <si>
    <t>Migrar los datos</t>
  </si>
  <si>
    <t>Informe de Migracion</t>
  </si>
  <si>
    <t>Capacitar a los usuarios</t>
  </si>
  <si>
    <t>Manual de usuario</t>
  </si>
  <si>
    <t>7.1</t>
  </si>
  <si>
    <t>7.2</t>
  </si>
  <si>
    <t>7.3</t>
  </si>
  <si>
    <t>Finalizacion del software</t>
  </si>
  <si>
    <t>Entrega  del Software</t>
  </si>
  <si>
    <t>Documentar el Sistema</t>
  </si>
  <si>
    <t>Cerrar el Proyecto</t>
  </si>
  <si>
    <t>Acta de entrega</t>
  </si>
  <si>
    <t>Acta de Cierre</t>
  </si>
  <si>
    <t>Administrador Proyecto</t>
  </si>
  <si>
    <t>Desarrollador Full Stack (Frontend y Backend)</t>
  </si>
  <si>
    <t xml:space="preserve">	2/08/2027</t>
  </si>
  <si>
    <t xml:space="preserve">	12/09/2027</t>
  </si>
  <si>
    <t>Fecha por definir tras la capacitación</t>
  </si>
  <si>
    <t xml:space="preserve">Dias </t>
  </si>
  <si>
    <t>Analista de datos</t>
  </si>
  <si>
    <t>Modelo</t>
  </si>
  <si>
    <t>Portátil Asus Vivobook</t>
  </si>
  <si>
    <t>16 Intel Core i5 13420H RAM 16 GB 512 GB SSD X1605VAMB1805W</t>
  </si>
  <si>
    <t>Xiaomi Redmi Note 14</t>
  </si>
  <si>
    <t>pantalla AMOLED de 6.67" a 120 Hz, procesador MediaTek, cámara de 108 MP y batería de 5500 mAh.</t>
  </si>
  <si>
    <t>Utilidad</t>
  </si>
  <si>
    <t>Lenguajes (Java, JavaScript, Python, PHP)</t>
  </si>
  <si>
    <t>Librerías</t>
  </si>
  <si>
    <t>Google Cloud</t>
  </si>
  <si>
    <t>Costos</t>
  </si>
  <si>
    <t>Software de Desarrollo (VS Code, IntelliJ Community, Git hub)</t>
  </si>
  <si>
    <t>si</t>
  </si>
  <si>
    <t>Licencia Anual</t>
  </si>
  <si>
    <t>Depende</t>
  </si>
  <si>
    <t>Software + Hardware</t>
  </si>
  <si>
    <t>Gastos administrativos</t>
  </si>
  <si>
    <t>Papeleria y utiles</t>
  </si>
  <si>
    <t>Internet y comunicaciones</t>
  </si>
  <si>
    <t>servicio de Agua</t>
  </si>
  <si>
    <t>servicio Energía eléctrica</t>
  </si>
  <si>
    <t>Valor Mes</t>
  </si>
  <si>
    <t xml:space="preserve">Total </t>
  </si>
  <si>
    <t>meses</t>
  </si>
  <si>
    <t>Software de Sistema (Windows 11 Pro 25H2) o Linux (gratis)</t>
  </si>
  <si>
    <t>Windows Defender / Antivirus) o Linux (gratis)</t>
  </si>
  <si>
    <t>Software de Aplicación (Office 365) o Libre office linux (gratis)</t>
  </si>
  <si>
    <t>2 años</t>
  </si>
  <si>
    <t>Ariendo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</si>
</sst>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d/m/yyyy\ \(dddd\)"/>
    <numFmt numFmtId="165" formatCode="m/d/yyyy\ \(dddd\)"/>
    <numFmt numFmtId="166" formatCode="d\ mmm\ yyyy"/>
    <numFmt numFmtId="167" formatCode="d"/>
    <numFmt numFmtId="168" formatCode="ddd\ dd/mm/yy"/>
    <numFmt numFmtId="169" formatCode="&quot;$&quot;\ #,##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26"/>
      <color theme="1"/>
      <name val="Aptos"/>
      <family val="2"/>
    </font>
    <font>
      <sz val="10"/>
      <color rgb="FF000000"/>
      <name val="Aptos Narrow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color theme="1"/>
      <name val="Aptos"/>
      <family val="2"/>
    </font>
    <font>
      <b/>
      <sz val="16"/>
      <color theme="1"/>
      <name val="Aptos"/>
      <family val="2"/>
    </font>
    <font>
      <sz val="16"/>
      <color theme="1"/>
      <name val="Aptos"/>
      <family val="2"/>
    </font>
    <font>
      <sz val="11"/>
      <name val="Aptos"/>
      <family val="2"/>
    </font>
    <font>
      <u/>
      <sz val="11"/>
      <color indexed="12"/>
      <name val="Aptos"/>
      <family val="2"/>
    </font>
    <font>
      <sz val="11"/>
      <color indexed="55"/>
      <name val="Aptos"/>
      <family val="2"/>
    </font>
    <font>
      <b/>
      <sz val="11"/>
      <name val="Aptos"/>
      <family val="2"/>
    </font>
    <font>
      <sz val="12"/>
      <name val="Aptos"/>
      <family val="2"/>
    </font>
    <font>
      <sz val="10"/>
      <name val="Aptos"/>
      <family val="2"/>
    </font>
    <font>
      <b/>
      <sz val="8"/>
      <name val="Aptos"/>
      <family val="2"/>
    </font>
    <font>
      <b/>
      <sz val="9"/>
      <name val="Aptos"/>
      <family val="2"/>
    </font>
    <font>
      <sz val="10"/>
      <color rgb="FF000000"/>
      <name val="Aptos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D6F4D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 style="medium">
        <color theme="0" tint="-0.24994659260841701"/>
      </left>
      <right/>
      <top/>
      <bottom/>
      <diagonal/>
    </border>
    <border>
      <left/>
      <right style="medium">
        <color theme="0" tint="-0.24994659260841701"/>
      </right>
      <top/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medium">
        <color theme="0" tint="-0.24994659260841701"/>
      </right>
      <top/>
      <bottom/>
      <diagonal/>
    </border>
    <border>
      <left/>
      <right/>
      <top/>
      <bottom style="medium">
        <color theme="0" tint="-0.34998626667073579"/>
      </bottom>
      <diagonal/>
    </border>
    <border>
      <left style="medium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0" tint="-0.34998626667073579"/>
      </right>
      <top style="thin">
        <color theme="0" tint="-0.34998626667073579"/>
      </top>
      <bottom/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9" fontId="4" fillId="0" borderId="0" applyFont="0" applyFill="0" applyBorder="0" applyAlignment="0" applyProtection="0"/>
    <xf numFmtId="44" fontId="21" fillId="0" borderId="0" applyFont="0" applyFill="0" applyBorder="0" applyAlignment="0" applyProtection="0"/>
    <xf numFmtId="9" fontId="21" fillId="0" borderId="0" applyFont="0" applyFill="0" applyBorder="0" applyAlignment="0" applyProtection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8" fillId="0" borderId="0" xfId="0" applyFont="1"/>
    <xf numFmtId="0" fontId="9" fillId="0" borderId="0" xfId="2" applyFont="1" applyAlignment="1" applyProtection="1">
      <alignment horizontal="left" vertical="center"/>
      <protection locked="0"/>
    </xf>
    <xf numFmtId="0" fontId="9" fillId="0" borderId="0" xfId="2" applyFont="1" applyProtection="1">
      <protection locked="0"/>
    </xf>
    <xf numFmtId="0" fontId="9" fillId="0" borderId="0" xfId="2" applyFont="1" applyAlignment="1" applyProtection="1">
      <alignment horizontal="center"/>
      <protection locked="0"/>
    </xf>
    <xf numFmtId="0" fontId="9" fillId="0" borderId="0" xfId="2" applyFont="1" applyAlignment="1" applyProtection="1">
      <alignment horizontal="left"/>
      <protection locked="0"/>
    </xf>
    <xf numFmtId="0" fontId="10" fillId="4" borderId="0" xfId="3" applyNumberFormat="1" applyFont="1" applyFill="1" applyBorder="1" applyAlignment="1" applyProtection="1">
      <alignment horizontal="right"/>
      <protection locked="0"/>
    </xf>
    <xf numFmtId="0" fontId="11" fillId="0" borderId="0" xfId="2" applyFont="1" applyAlignment="1" applyProtection="1">
      <alignment horizontal="center"/>
      <protection locked="0"/>
    </xf>
    <xf numFmtId="0" fontId="9" fillId="0" borderId="0" xfId="2" applyFont="1" applyAlignment="1">
      <alignment horizontal="center"/>
    </xf>
    <xf numFmtId="0" fontId="9" fillId="4" borderId="0" xfId="2" applyFont="1" applyFill="1"/>
    <xf numFmtId="0" fontId="9" fillId="0" borderId="0" xfId="2" applyFont="1"/>
    <xf numFmtId="0" fontId="9" fillId="0" borderId="0" xfId="2" applyFont="1" applyAlignment="1" applyProtection="1">
      <alignment horizontal="right" vertical="center"/>
      <protection locked="0"/>
    </xf>
    <xf numFmtId="0" fontId="9" fillId="0" borderId="0" xfId="2" applyFont="1" applyAlignment="1">
      <alignment horizontal="left"/>
    </xf>
    <xf numFmtId="0" fontId="10" fillId="0" borderId="0" xfId="3" applyFont="1" applyBorder="1" applyAlignment="1" applyProtection="1">
      <alignment horizontal="left"/>
    </xf>
    <xf numFmtId="0" fontId="9" fillId="0" borderId="0" xfId="2" applyFont="1" applyAlignment="1">
      <alignment horizontal="right"/>
    </xf>
    <xf numFmtId="0" fontId="12" fillId="0" borderId="0" xfId="2" applyFont="1" applyAlignment="1">
      <alignment horizontal="right" vertical="center"/>
    </xf>
    <xf numFmtId="164" fontId="9" fillId="0" borderId="8" xfId="2" applyNumberFormat="1" applyFont="1" applyBorder="1" applyAlignment="1" applyProtection="1">
      <alignment horizontal="center" vertical="center" shrinkToFit="1"/>
      <protection locked="0"/>
    </xf>
    <xf numFmtId="0" fontId="14" fillId="0" borderId="0" xfId="2" applyFont="1" applyAlignment="1">
      <alignment horizontal="center" vertical="center"/>
    </xf>
    <xf numFmtId="0" fontId="9" fillId="0" borderId="8" xfId="2" applyFont="1" applyBorder="1" applyAlignment="1" applyProtection="1">
      <alignment horizontal="center" vertical="center"/>
      <protection locked="0"/>
    </xf>
    <xf numFmtId="165" fontId="9" fillId="0" borderId="11" xfId="2" applyNumberFormat="1" applyFont="1" applyBorder="1" applyAlignment="1" applyProtection="1">
      <alignment horizontal="center" vertical="center" shrinkToFit="1"/>
      <protection locked="0"/>
    </xf>
    <xf numFmtId="167" fontId="9" fillId="0" borderId="12" xfId="2" applyNumberFormat="1" applyFont="1" applyBorder="1" applyAlignment="1">
      <alignment horizontal="center" vertical="center" shrinkToFit="1"/>
    </xf>
    <xf numFmtId="167" fontId="9" fillId="0" borderId="13" xfId="2" applyNumberFormat="1" applyFont="1" applyBorder="1" applyAlignment="1">
      <alignment horizontal="center" vertical="center" shrinkToFit="1"/>
    </xf>
    <xf numFmtId="167" fontId="9" fillId="0" borderId="14" xfId="2" applyNumberFormat="1" applyFont="1" applyBorder="1" applyAlignment="1">
      <alignment horizontal="center" vertical="center" shrinkToFit="1"/>
    </xf>
    <xf numFmtId="0" fontId="12" fillId="0" borderId="15" xfId="2" applyFont="1" applyBorder="1" applyAlignment="1">
      <alignment horizontal="center" vertical="center"/>
    </xf>
    <xf numFmtId="0" fontId="15" fillId="0" borderId="15" xfId="2" applyFont="1" applyBorder="1" applyAlignment="1">
      <alignment horizontal="center" vertical="center"/>
    </xf>
    <xf numFmtId="0" fontId="12" fillId="0" borderId="15" xfId="2" applyFont="1" applyBorder="1" applyAlignment="1">
      <alignment horizontal="center" vertical="center" wrapText="1"/>
    </xf>
    <xf numFmtId="0" fontId="16" fillId="0" borderId="15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shrinkToFit="1"/>
    </xf>
    <xf numFmtId="0" fontId="9" fillId="0" borderId="13" xfId="2" applyFont="1" applyBorder="1" applyAlignment="1">
      <alignment horizontal="center" vertical="center" shrinkToFit="1"/>
    </xf>
    <xf numFmtId="0" fontId="9" fillId="0" borderId="14" xfId="2" applyFont="1" applyBorder="1" applyAlignment="1">
      <alignment horizontal="center" vertical="center" shrinkToFit="1"/>
    </xf>
    <xf numFmtId="0" fontId="14" fillId="5" borderId="16" xfId="2" applyFont="1" applyFill="1" applyBorder="1" applyAlignment="1">
      <alignment horizontal="right" vertical="center" wrapText="1"/>
    </xf>
    <xf numFmtId="0" fontId="14" fillId="0" borderId="19" xfId="2" applyFont="1" applyBorder="1" applyAlignment="1">
      <alignment horizontal="left" vertical="center" wrapText="1"/>
    </xf>
    <xf numFmtId="0" fontId="14" fillId="0" borderId="17" xfId="2" applyFont="1" applyBorder="1" applyAlignment="1">
      <alignment horizontal="center" vertical="center" wrapText="1"/>
    </xf>
    <xf numFmtId="0" fontId="14" fillId="0" borderId="17" xfId="2" applyFont="1" applyBorder="1" applyAlignment="1">
      <alignment horizontal="left" vertical="center" wrapText="1"/>
    </xf>
    <xf numFmtId="0" fontId="14" fillId="5" borderId="19" xfId="2" applyFont="1" applyFill="1" applyBorder="1" applyAlignment="1">
      <alignment horizontal="center" vertical="center" wrapText="1"/>
    </xf>
    <xf numFmtId="0" fontId="17" fillId="0" borderId="19" xfId="2" applyFont="1" applyBorder="1" applyAlignment="1">
      <alignment horizontal="center" vertical="center" wrapText="1"/>
    </xf>
    <xf numFmtId="168" fontId="17" fillId="0" borderId="19" xfId="2" applyNumberFormat="1" applyFont="1" applyBorder="1" applyAlignment="1">
      <alignment horizontal="center" vertical="center" wrapText="1"/>
    </xf>
    <xf numFmtId="168" fontId="17" fillId="6" borderId="17" xfId="2" applyNumberFormat="1" applyFont="1" applyFill="1" applyBorder="1" applyAlignment="1">
      <alignment horizontal="center" vertical="center" wrapText="1"/>
    </xf>
    <xf numFmtId="0" fontId="17" fillId="0" borderId="17" xfId="2" applyFont="1" applyBorder="1" applyAlignment="1">
      <alignment horizontal="center" vertical="center" wrapText="1"/>
    </xf>
    <xf numFmtId="9" fontId="17" fillId="5" borderId="19" xfId="4" applyFont="1" applyFill="1" applyBorder="1" applyAlignment="1" applyProtection="1">
      <alignment horizontal="center" vertical="center" wrapText="1"/>
    </xf>
    <xf numFmtId="1" fontId="17" fillId="0" borderId="18" xfId="2" applyNumberFormat="1" applyFont="1" applyBorder="1" applyAlignment="1">
      <alignment horizontal="center" vertical="center" wrapText="1"/>
    </xf>
    <xf numFmtId="1" fontId="17" fillId="0" borderId="23" xfId="2" applyNumberFormat="1" applyFont="1" applyBorder="1" applyAlignment="1">
      <alignment horizontal="center" vertical="center" wrapText="1"/>
    </xf>
    <xf numFmtId="0" fontId="14" fillId="2" borderId="2" xfId="2" applyFont="1" applyFill="1" applyBorder="1" applyAlignment="1">
      <alignment horizontal="left" vertical="center" wrapText="1"/>
    </xf>
    <xf numFmtId="0" fontId="14" fillId="0" borderId="0" xfId="2" applyFont="1" applyAlignment="1">
      <alignment vertical="center" wrapText="1"/>
    </xf>
    <xf numFmtId="0" fontId="14" fillId="0" borderId="17" xfId="2" applyFont="1" applyBorder="1" applyAlignment="1">
      <alignment vertical="center" wrapText="1"/>
    </xf>
    <xf numFmtId="0" fontId="14" fillId="5" borderId="17" xfId="2" applyFont="1" applyFill="1" applyBorder="1" applyAlignment="1">
      <alignment horizontal="center" vertical="center" wrapText="1"/>
    </xf>
    <xf numFmtId="168" fontId="17" fillId="0" borderId="17" xfId="2" applyNumberFormat="1" applyFont="1" applyBorder="1" applyAlignment="1">
      <alignment horizontal="center" vertical="center" wrapText="1"/>
    </xf>
    <xf numFmtId="1" fontId="17" fillId="0" borderId="24" xfId="2" applyNumberFormat="1" applyFont="1" applyBorder="1" applyAlignment="1">
      <alignment horizontal="center" vertical="center" wrapText="1"/>
    </xf>
    <xf numFmtId="0" fontId="14" fillId="0" borderId="2" xfId="2" applyFont="1" applyBorder="1" applyAlignment="1">
      <alignment horizontal="left" vertical="center" wrapText="1"/>
    </xf>
    <xf numFmtId="9" fontId="14" fillId="0" borderId="2" xfId="2" applyNumberFormat="1" applyFont="1" applyBorder="1" applyAlignment="1">
      <alignment horizontal="left" vertical="center" wrapText="1"/>
    </xf>
    <xf numFmtId="1" fontId="17" fillId="0" borderId="20" xfId="2" applyNumberFormat="1" applyFont="1" applyBorder="1" applyAlignment="1">
      <alignment horizontal="center" vertical="center" wrapText="1"/>
    </xf>
    <xf numFmtId="0" fontId="9" fillId="7" borderId="21" xfId="2" applyFont="1" applyFill="1" applyBorder="1" applyAlignment="1">
      <alignment horizontal="right"/>
    </xf>
    <xf numFmtId="0" fontId="9" fillId="7" borderId="22" xfId="2" applyFont="1" applyFill="1" applyBorder="1"/>
    <xf numFmtId="0" fontId="9" fillId="7" borderId="22" xfId="2" applyFont="1" applyFill="1" applyBorder="1" applyAlignment="1">
      <alignment horizontal="center"/>
    </xf>
    <xf numFmtId="0" fontId="9" fillId="7" borderId="22" xfId="2" applyFont="1" applyFill="1" applyBorder="1" applyAlignment="1">
      <alignment horizontal="left"/>
    </xf>
    <xf numFmtId="0" fontId="9" fillId="7" borderId="25" xfId="2" applyFont="1" applyFill="1" applyBorder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9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166" fontId="9" fillId="0" borderId="12" xfId="2" applyNumberFormat="1" applyFont="1" applyBorder="1" applyAlignment="1">
      <alignment horizontal="center" vertical="center"/>
    </xf>
    <xf numFmtId="166" fontId="9" fillId="0" borderId="13" xfId="2" applyNumberFormat="1" applyFont="1" applyBorder="1" applyAlignment="1">
      <alignment horizontal="center" vertical="center"/>
    </xf>
    <xf numFmtId="166" fontId="9" fillId="0" borderId="14" xfId="2" applyNumberFormat="1" applyFont="1" applyBorder="1" applyAlignment="1">
      <alignment horizontal="center" vertical="center"/>
    </xf>
    <xf numFmtId="0" fontId="12" fillId="0" borderId="8" xfId="2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4" fontId="13" fillId="0" borderId="8" xfId="2" applyNumberFormat="1" applyFont="1" applyBorder="1" applyAlignment="1" applyProtection="1">
      <alignment horizontal="left" vertical="center" shrinkToFit="1"/>
      <protection locked="0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0" fillId="8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26" fillId="9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 wrapText="1"/>
    </xf>
    <xf numFmtId="0" fontId="0" fillId="10" borderId="26" xfId="0" applyFill="1" applyBorder="1" applyAlignment="1">
      <alignment horizontal="center" vertical="center"/>
    </xf>
    <xf numFmtId="0" fontId="0" fillId="10" borderId="27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10" borderId="2" xfId="0" applyFill="1" applyBorder="1" applyAlignment="1">
      <alignment wrapText="1"/>
    </xf>
    <xf numFmtId="0" fontId="0" fillId="11" borderId="2" xfId="0" applyFill="1" applyBorder="1"/>
    <xf numFmtId="0" fontId="0" fillId="11" borderId="2" xfId="0" applyFill="1" applyBorder="1" applyAlignment="1">
      <alignment horizontal="center" vertical="center"/>
    </xf>
    <xf numFmtId="0" fontId="0" fillId="10" borderId="2" xfId="0" applyFill="1" applyBorder="1"/>
    <xf numFmtId="0" fontId="0" fillId="10" borderId="2" xfId="0" applyFill="1" applyBorder="1" applyAlignment="1">
      <alignment horizontal="left" vertical="center"/>
    </xf>
    <xf numFmtId="0" fontId="0" fillId="10" borderId="3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/>
    </xf>
    <xf numFmtId="9" fontId="0" fillId="11" borderId="2" xfId="0" applyNumberFormat="1" applyFill="1" applyBorder="1" applyAlignment="1">
      <alignment horizontal="center" vertical="center"/>
    </xf>
    <xf numFmtId="14" fontId="0" fillId="11" borderId="2" xfId="0" applyNumberFormat="1" applyFill="1" applyBorder="1" applyAlignment="1">
      <alignment horizontal="center" vertical="center" wrapText="1"/>
    </xf>
    <xf numFmtId="0" fontId="20" fillId="12" borderId="29" xfId="0" applyFont="1" applyFill="1" applyBorder="1" applyAlignment="1">
      <alignment horizontal="center" vertical="center"/>
    </xf>
    <xf numFmtId="0" fontId="20" fillId="12" borderId="6" xfId="0" applyFont="1" applyFill="1" applyBorder="1" applyAlignment="1">
      <alignment horizontal="center" vertical="center"/>
    </xf>
    <xf numFmtId="0" fontId="20" fillId="12" borderId="30" xfId="0" applyFont="1" applyFill="1" applyBorder="1" applyAlignment="1">
      <alignment horizontal="center" vertical="center"/>
    </xf>
    <xf numFmtId="0" fontId="20" fillId="12" borderId="31" xfId="0" applyFont="1" applyFill="1" applyBorder="1" applyAlignment="1">
      <alignment horizontal="center" vertical="center"/>
    </xf>
    <xf numFmtId="0" fontId="20" fillId="12" borderId="1" xfId="0" applyFont="1" applyFill="1" applyBorder="1" applyAlignment="1">
      <alignment horizontal="center" vertical="center"/>
    </xf>
    <xf numFmtId="0" fontId="20" fillId="12" borderId="32" xfId="0" applyFont="1" applyFill="1" applyBorder="1" applyAlignment="1">
      <alignment horizontal="center" vertical="center"/>
    </xf>
    <xf numFmtId="0" fontId="0" fillId="11" borderId="2" xfId="0" applyFill="1" applyBorder="1" applyAlignment="1">
      <alignment vertical="center" wrapText="1"/>
    </xf>
    <xf numFmtId="169" fontId="0" fillId="11" borderId="2" xfId="0" applyNumberFormat="1" applyFill="1" applyBorder="1" applyAlignment="1">
      <alignment horizontal="center" vertical="center"/>
    </xf>
    <xf numFmtId="169" fontId="0" fillId="10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vertical="center"/>
    </xf>
    <xf numFmtId="0" fontId="20" fillId="12" borderId="2" xfId="0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24" fillId="11" borderId="2" xfId="0" applyFont="1" applyFill="1" applyBorder="1" applyAlignment="1">
      <alignment wrapText="1"/>
    </xf>
    <xf numFmtId="0" fontId="23" fillId="11" borderId="2" xfId="0" applyFont="1" applyFill="1" applyBorder="1" applyAlignment="1">
      <alignment wrapText="1"/>
    </xf>
    <xf numFmtId="0" fontId="0" fillId="12" borderId="2" xfId="0" applyFill="1" applyBorder="1" applyAlignment="1">
      <alignment horizontal="center" vertical="center"/>
    </xf>
    <xf numFmtId="169" fontId="0" fillId="12" borderId="2" xfId="0" applyNumberFormat="1" applyFill="1" applyBorder="1" applyAlignment="1">
      <alignment horizontal="center" vertical="center"/>
    </xf>
    <xf numFmtId="0" fontId="3" fillId="11" borderId="2" xfId="1" applyFill="1" applyBorder="1" applyAlignment="1">
      <alignment horizontal="left" vertical="center" wrapText="1"/>
    </xf>
    <xf numFmtId="3" fontId="25" fillId="11" borderId="2" xfId="1" applyNumberFormat="1" applyFont="1" applyFill="1" applyBorder="1" applyAlignment="1">
      <alignment horizontal="center" vertical="center" wrapText="1"/>
    </xf>
    <xf numFmtId="0" fontId="22" fillId="11" borderId="2" xfId="0" applyFont="1" applyFill="1" applyBorder="1" applyAlignment="1">
      <alignment horizontal="center" vertical="center" wrapText="1"/>
    </xf>
    <xf numFmtId="3" fontId="3" fillId="11" borderId="2" xfId="1" applyNumberFormat="1" applyFill="1" applyBorder="1" applyAlignment="1">
      <alignment horizontal="center" vertical="center" wrapText="1"/>
    </xf>
    <xf numFmtId="3" fontId="21" fillId="11" borderId="2" xfId="5" applyNumberFormat="1" applyFont="1" applyFill="1" applyBorder="1" applyAlignment="1">
      <alignment horizontal="center" vertical="center" wrapText="1"/>
    </xf>
    <xf numFmtId="0" fontId="0" fillId="11" borderId="2" xfId="1" applyFont="1" applyFill="1" applyBorder="1" applyAlignment="1">
      <alignment horizontal="left" vertical="center" wrapText="1"/>
    </xf>
    <xf numFmtId="3" fontId="0" fillId="11" borderId="2" xfId="0" applyNumberFormat="1" applyFill="1" applyBorder="1" applyAlignment="1">
      <alignment horizontal="center" vertical="center"/>
    </xf>
    <xf numFmtId="3" fontId="0" fillId="11" borderId="0" xfId="0" applyNumberFormat="1" applyFill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169" fontId="0" fillId="13" borderId="2" xfId="0" applyNumberFormat="1" applyFill="1" applyBorder="1" applyAlignment="1">
      <alignment horizontal="center" vertical="center"/>
    </xf>
    <xf numFmtId="0" fontId="0" fillId="10" borderId="3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2" xfId="0" applyFill="1" applyBorder="1"/>
    <xf numFmtId="0" fontId="0" fillId="11" borderId="3" xfId="0" applyFill="1" applyBorder="1"/>
    <xf numFmtId="0" fontId="0" fillId="11" borderId="5" xfId="0" applyFill="1" applyBorder="1"/>
    <xf numFmtId="9" fontId="0" fillId="11" borderId="2" xfId="6" applyFont="1" applyFill="1" applyBorder="1" applyAlignment="1">
      <alignment horizontal="center" vertical="center"/>
    </xf>
    <xf numFmtId="42" fontId="0" fillId="11" borderId="2" xfId="0" applyNumberFormat="1" applyFill="1" applyBorder="1" applyAlignment="1">
      <alignment horizontal="center" vertical="center"/>
    </xf>
    <xf numFmtId="42" fontId="0" fillId="11" borderId="2" xfId="0" applyNumberFormat="1" applyFill="1" applyBorder="1"/>
    <xf numFmtId="9" fontId="0" fillId="10" borderId="2" xfId="6" applyFont="1" applyFill="1" applyBorder="1" applyAlignment="1">
      <alignment horizontal="center" vertical="center"/>
    </xf>
  </cellXfs>
  <cellStyles count="7">
    <cellStyle name="Hipervínculo" xfId="3" builtinId="8"/>
    <cellStyle name="Moneda" xfId="5" builtinId="4"/>
    <cellStyle name="Normal" xfId="0" builtinId="0"/>
    <cellStyle name="Normal 2" xfId="1" xr:uid="{71B60B9B-5DED-40E0-860A-1269936D7842}"/>
    <cellStyle name="Normal 3" xfId="2" xr:uid="{D1CD8340-3DAF-450A-AF48-481D6A1E9842}"/>
    <cellStyle name="Porcentaje" xfId="6" builtinId="5"/>
    <cellStyle name="Porcentaje 2" xfId="4" xr:uid="{DCB7EC18-651F-4B8F-BD53-D402463C9D8B}"/>
  </cellStyles>
  <dxfs count="28"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border>
        <left style="thin">
          <color rgb="FFC00000"/>
        </left>
        <right style="thin">
          <color rgb="FFC00000"/>
        </right>
        <vertical/>
        <horizontal/>
      </border>
    </dxf>
    <dxf>
      <font>
        <color theme="0"/>
      </font>
      <fill>
        <patternFill>
          <bgColor theme="5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 defaultTableStyle="TableStyleMedium2" defaultPivotStyle="PivotStyleLight16">
    <tableStyle name="REQUISITOS-style" pivot="0" count="4" xr9:uid="{97F8ACE7-5DDF-44E5-828A-D5BB43273AE4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REQUISITOS-style 2" pivot="0" count="4" xr9:uid="{46B24A4C-D133-4A09-9F0B-555CC5CFC8D1}">
      <tableStyleElement type="wholeTable" size="0" dxfId="23"/>
      <tableStyleElement type="headerRow" dxfId="22"/>
      <tableStyleElement type="firstRowStripe" dxfId="21"/>
      <tableStyleElement type="secondRowStripe" dxfId="20"/>
    </tableStyle>
    <tableStyle name="REQUISITOS-style 3" pivot="0" count="4" xr9:uid="{AA16467D-C55B-4E40-8941-7596F3F45794}">
      <tableStyleElement type="wholeTable" size="0" dxfId="19"/>
      <tableStyleElement type="headerRow" dxfId="18"/>
      <tableStyleElement type="firstRowStripe" dxfId="17"/>
      <tableStyleElement type="secondRowStripe" dxfId="16"/>
    </tableStyle>
    <tableStyle name="REQUISITOS-style 4" pivot="0" count="4" xr9:uid="{53377E4C-C185-499A-A676-187A00AD0E54}">
      <tableStyleElement type="wholeTable" size="0" dxfId="15"/>
      <tableStyleElement type="headerRow" dxfId="14"/>
      <tableStyleElement type="firstRowStripe" dxfId="13"/>
      <tableStyleElement type="secondRowStripe" dxfId="12"/>
    </tableStyle>
    <tableStyle name="REQUISITOS-style 5" pivot="0" count="4" xr9:uid="{9DAF5AC9-95C1-4B47-B87D-A01E25C736FB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REQUISITOS-style 6" pivot="0" count="4" xr9:uid="{9DA458C3-4CAB-44E5-9330-F226FDA15FD6}">
      <tableStyleElement type="wholeTable" size="0" dxfId="7"/>
      <tableStyleElement type="headerRow" dxfId="6"/>
      <tableStyleElement type="firstRowStripe" dxfId="5"/>
      <tableStyleElement type="secondRowStripe" dxfId="4"/>
    </tableStyle>
  </tableStyles>
  <colors>
    <mruColors>
      <color rgb="FF295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ctrlProps/ctrlProp1.xml><?xml version="1.0" encoding="utf-8"?>
<formControlPr xmlns="http://schemas.microsoft.com/office/spreadsheetml/2009/9/main" objectType="Scroll" dx="22" fmlaLink="$J$8" horiz="1" max="100" min="1" page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89799</xdr:colOff>
      <xdr:row>8</xdr:row>
      <xdr:rowOff>69157</xdr:rowOff>
    </xdr:from>
    <xdr:to>
      <xdr:col>6</xdr:col>
      <xdr:colOff>369094</xdr:colOff>
      <xdr:row>11</xdr:row>
      <xdr:rowOff>241438</xdr:rowOff>
    </xdr:to>
    <xdr:sp macro="" textlink="">
      <xdr:nvSpPr>
        <xdr:cNvPr id="2" name="Text Box 44" hidden="1">
          <a:extLst>
            <a:ext uri="{FF2B5EF4-FFF2-40B4-BE49-F238E27FC236}">
              <a16:creationId xmlns:a16="http://schemas.microsoft.com/office/drawing/2014/main" id="{0A867541-DA63-472F-9FB1-AEA027E4FCC3}"/>
            </a:ext>
          </a:extLst>
        </xdr:cNvPr>
        <xdr:cNvSpPr txBox="1">
          <a:spLocks noChangeArrowheads="1"/>
        </xdr:cNvSpPr>
      </xdr:nvSpPr>
      <xdr:spPr bwMode="auto">
        <a:xfrm>
          <a:off x="5083240" y="1382486"/>
          <a:ext cx="3523722" cy="1063821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99060</xdr:colOff>
          <xdr:row>5</xdr:row>
          <xdr:rowOff>68580</xdr:rowOff>
        </xdr:from>
        <xdr:to>
          <xdr:col>29</xdr:col>
          <xdr:colOff>121920</xdr:colOff>
          <xdr:row>6</xdr:row>
          <xdr:rowOff>68580</xdr:rowOff>
        </xdr:to>
        <xdr:sp macro="" textlink="">
          <xdr:nvSpPr>
            <xdr:cNvPr id="7169" name="Scroll Bar 1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  <xdr:oneCellAnchor>
    <xdr:from>
      <xdr:col>0</xdr:col>
      <xdr:colOff>76201</xdr:colOff>
      <xdr:row>1</xdr:row>
      <xdr:rowOff>47626</xdr:rowOff>
    </xdr:from>
    <xdr:ext cx="432000" cy="432000"/>
    <xdr:pic>
      <xdr:nvPicPr>
        <xdr:cNvPr id="3" name="Imagen 2">
          <a:extLst>
            <a:ext uri="{FF2B5EF4-FFF2-40B4-BE49-F238E27FC236}">
              <a16:creationId xmlns:a16="http://schemas.microsoft.com/office/drawing/2014/main" id="{8B5EF204-2FCE-4E73-8AD0-2DBF025BC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108586"/>
          <a:ext cx="432000" cy="432000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Your profile picture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  <wetp:taskpane dockstate="right" visibility="0" width="438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3E3EAF0-E8A1-4BC0-9097-2327C0840BD4}">
  <we:reference id="wa200007447" version="1.1.6.7" store="es-MX" storeType="OMEX"/>
  <we:alternateReferences>
    <we:reference id="wa200007447" version="1.1.6.7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8DEB0639-CCC7-4F07-957E-2BA22A31D492}">
  <we:reference id="wa200005502" version="1.0.0.13" store="es-MX" storeType="OMEX"/>
  <we:alternateReferences>
    <we:reference id="WA200005502" version="1.0.0.13" store="" storeType="OMEX"/>
  </we:alternateReferences>
  <we:properties>
    <we:property name="docId" value="&quot;J9LdkNcqhkFx24LlRblB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793D-E7B0-41A0-A791-A993A50EF5C2}">
  <dimension ref="B2:K35"/>
  <sheetViews>
    <sheetView topLeftCell="A15" zoomScale="85" zoomScaleNormal="85" workbookViewId="0">
      <selection activeCell="F37" sqref="F37"/>
    </sheetView>
  </sheetViews>
  <sheetFormatPr baseColWidth="10" defaultRowHeight="14.4" x14ac:dyDescent="0.3"/>
  <cols>
    <col min="1" max="16384" width="11.5546875" style="1"/>
  </cols>
  <sheetData>
    <row r="2" spans="2:11" ht="50.4" customHeight="1" x14ac:dyDescent="0.65">
      <c r="B2" s="82" t="e" vm="1">
        <v>#VALUE!</v>
      </c>
      <c r="C2" s="82"/>
      <c r="D2" s="82"/>
      <c r="E2" s="81" t="s">
        <v>15</v>
      </c>
      <c r="F2" s="81"/>
      <c r="G2" s="81"/>
      <c r="H2" s="81"/>
      <c r="I2" s="81"/>
      <c r="J2" s="81"/>
      <c r="K2" s="81"/>
    </row>
    <row r="3" spans="2:11" ht="50.4" customHeight="1" x14ac:dyDescent="0.65">
      <c r="B3" s="82"/>
      <c r="C3" s="82"/>
      <c r="D3" s="82"/>
      <c r="E3" s="81" t="s">
        <v>14</v>
      </c>
      <c r="F3" s="81"/>
      <c r="G3" s="81"/>
      <c r="H3" s="81"/>
      <c r="I3" s="81"/>
      <c r="J3" s="81"/>
      <c r="K3" s="81"/>
    </row>
    <row r="4" spans="2:11" x14ac:dyDescent="0.3">
      <c r="B4" s="78"/>
      <c r="C4" s="78"/>
      <c r="D4" s="78"/>
      <c r="E4" s="78"/>
      <c r="F4" s="78"/>
      <c r="G4" s="78"/>
      <c r="H4" s="78"/>
      <c r="I4" s="78"/>
      <c r="J4" s="78"/>
      <c r="K4" s="78"/>
    </row>
    <row r="5" spans="2:11" x14ac:dyDescent="0.3">
      <c r="B5" s="78" t="s">
        <v>13</v>
      </c>
      <c r="C5" s="78"/>
      <c r="D5" s="78"/>
      <c r="E5" s="78"/>
      <c r="F5" s="78"/>
      <c r="G5" s="78"/>
      <c r="H5" s="78"/>
      <c r="I5" s="78"/>
      <c r="J5" s="78"/>
      <c r="K5" s="78"/>
    </row>
    <row r="6" spans="2:11" x14ac:dyDescent="0.3">
      <c r="B6" s="78"/>
      <c r="C6" s="78"/>
      <c r="D6" s="78"/>
      <c r="E6" s="78"/>
      <c r="F6" s="78"/>
      <c r="G6" s="78"/>
      <c r="H6" s="78"/>
      <c r="I6" s="78"/>
      <c r="J6" s="78"/>
      <c r="K6" s="78"/>
    </row>
    <row r="7" spans="2:11" x14ac:dyDescent="0.3">
      <c r="B7" s="78"/>
      <c r="C7" s="78"/>
      <c r="D7" s="78"/>
      <c r="E7" s="78"/>
      <c r="F7" s="78"/>
      <c r="G7" s="78"/>
      <c r="H7" s="78"/>
      <c r="I7" s="78"/>
      <c r="J7" s="78"/>
      <c r="K7" s="78"/>
    </row>
    <row r="8" spans="2:11" x14ac:dyDescent="0.3">
      <c r="B8" s="64" t="s">
        <v>0</v>
      </c>
      <c r="C8" s="64"/>
      <c r="D8" s="62" t="s">
        <v>6</v>
      </c>
      <c r="E8" s="62"/>
      <c r="F8" s="62"/>
      <c r="G8" s="62"/>
      <c r="H8" s="62"/>
      <c r="I8" s="62"/>
      <c r="J8" s="62"/>
      <c r="K8" s="62"/>
    </row>
    <row r="9" spans="2:11" x14ac:dyDescent="0.3">
      <c r="B9" s="64" t="s">
        <v>1</v>
      </c>
      <c r="C9" s="64"/>
      <c r="D9" s="62" t="s">
        <v>7</v>
      </c>
      <c r="E9" s="62"/>
      <c r="F9" s="62"/>
      <c r="G9" s="62"/>
      <c r="H9" s="62"/>
      <c r="I9" s="62"/>
      <c r="J9" s="62"/>
      <c r="K9" s="62"/>
    </row>
    <row r="10" spans="2:11" x14ac:dyDescent="0.3">
      <c r="B10" s="64" t="s">
        <v>2</v>
      </c>
      <c r="C10" s="64"/>
      <c r="D10" s="62" t="s">
        <v>8</v>
      </c>
      <c r="E10" s="62"/>
      <c r="F10" s="62"/>
      <c r="G10" s="62"/>
      <c r="H10" s="62"/>
      <c r="I10" s="62"/>
      <c r="J10" s="62"/>
      <c r="K10" s="62"/>
    </row>
    <row r="11" spans="2:11" x14ac:dyDescent="0.3">
      <c r="B11" s="64" t="s">
        <v>3</v>
      </c>
      <c r="C11" s="64"/>
      <c r="D11" s="62" t="s">
        <v>9</v>
      </c>
      <c r="E11" s="62"/>
      <c r="F11" s="62"/>
      <c r="G11" s="62"/>
      <c r="H11" s="80" t="s">
        <v>10</v>
      </c>
      <c r="I11" s="80"/>
      <c r="J11" s="79">
        <v>46055</v>
      </c>
      <c r="K11" s="65"/>
    </row>
    <row r="12" spans="2:11" x14ac:dyDescent="0.3">
      <c r="B12" s="64" t="s">
        <v>4</v>
      </c>
      <c r="C12" s="64"/>
      <c r="D12" s="65">
        <v>1</v>
      </c>
      <c r="E12" s="65"/>
      <c r="F12" s="65"/>
      <c r="G12" s="65"/>
      <c r="H12" s="80" t="s">
        <v>11</v>
      </c>
      <c r="I12" s="80"/>
      <c r="J12" s="65"/>
      <c r="K12" s="65"/>
    </row>
    <row r="13" spans="2:11" x14ac:dyDescent="0.3">
      <c r="B13" s="64" t="s">
        <v>5</v>
      </c>
      <c r="C13" s="64"/>
      <c r="D13" s="62" t="s">
        <v>9</v>
      </c>
      <c r="E13" s="62"/>
      <c r="F13" s="62"/>
      <c r="G13" s="62"/>
      <c r="H13" s="80" t="s">
        <v>12</v>
      </c>
      <c r="I13" s="80"/>
      <c r="J13" s="65">
        <v>6</v>
      </c>
      <c r="K13" s="65"/>
    </row>
    <row r="14" spans="2:11" x14ac:dyDescent="0.3">
      <c r="B14" s="77"/>
      <c r="C14" s="77"/>
      <c r="D14" s="77"/>
      <c r="E14" s="77"/>
      <c r="F14" s="77"/>
      <c r="G14" s="77"/>
      <c r="H14" s="77"/>
      <c r="I14" s="77"/>
      <c r="J14" s="77"/>
      <c r="K14" s="77"/>
    </row>
    <row r="15" spans="2:11" x14ac:dyDescent="0.3">
      <c r="B15" s="78"/>
      <c r="C15" s="78"/>
      <c r="D15" s="78"/>
      <c r="E15" s="78"/>
      <c r="F15" s="78"/>
      <c r="G15" s="78"/>
      <c r="H15" s="78"/>
      <c r="I15" s="78"/>
      <c r="J15" s="78"/>
      <c r="K15" s="78"/>
    </row>
    <row r="16" spans="2:11" x14ac:dyDescent="0.3">
      <c r="B16" s="63" t="s">
        <v>16</v>
      </c>
      <c r="C16" s="63"/>
      <c r="D16" s="63"/>
      <c r="E16" s="63"/>
      <c r="F16" s="63"/>
      <c r="G16" s="63"/>
      <c r="H16" s="63"/>
      <c r="I16" s="63"/>
      <c r="J16" s="63"/>
      <c r="K16" s="63"/>
    </row>
    <row r="17" spans="2:11" x14ac:dyDescent="0.3">
      <c r="B17" s="63"/>
      <c r="C17" s="63"/>
      <c r="D17" s="63"/>
      <c r="E17" s="63"/>
      <c r="F17" s="63"/>
      <c r="G17" s="63"/>
      <c r="H17" s="63"/>
      <c r="I17" s="63"/>
      <c r="J17" s="63"/>
      <c r="K17" s="63"/>
    </row>
    <row r="18" spans="2:11" x14ac:dyDescent="0.3">
      <c r="B18" s="73" t="s">
        <v>17</v>
      </c>
      <c r="C18" s="73"/>
      <c r="D18" s="73" t="s">
        <v>18</v>
      </c>
      <c r="E18" s="73"/>
      <c r="F18" s="73" t="s">
        <v>19</v>
      </c>
      <c r="G18" s="73"/>
      <c r="H18" s="73"/>
      <c r="I18" s="73" t="s">
        <v>20</v>
      </c>
      <c r="J18" s="73"/>
      <c r="K18" s="73"/>
    </row>
    <row r="19" spans="2:11" x14ac:dyDescent="0.3">
      <c r="B19" s="74"/>
      <c r="C19" s="74"/>
      <c r="D19" s="74"/>
      <c r="E19" s="74"/>
      <c r="F19" s="74"/>
      <c r="G19" s="74"/>
      <c r="H19" s="74"/>
      <c r="I19" s="74"/>
      <c r="J19" s="74"/>
      <c r="K19" s="74"/>
    </row>
    <row r="20" spans="2:11" x14ac:dyDescent="0.3">
      <c r="B20" s="75">
        <v>1</v>
      </c>
      <c r="C20" s="76"/>
      <c r="D20" s="72" t="s">
        <v>21</v>
      </c>
      <c r="E20" s="72"/>
      <c r="F20" s="69" t="s">
        <v>22</v>
      </c>
      <c r="G20" s="70"/>
      <c r="H20" s="71"/>
      <c r="I20" s="66">
        <v>46055</v>
      </c>
      <c r="J20" s="67"/>
      <c r="K20" s="68"/>
    </row>
    <row r="21" spans="2:11" x14ac:dyDescent="0.3">
      <c r="B21" s="72"/>
      <c r="C21" s="72"/>
      <c r="D21" s="72"/>
      <c r="E21" s="72"/>
      <c r="F21" s="65"/>
      <c r="G21" s="65"/>
      <c r="H21" s="65"/>
      <c r="I21" s="65"/>
      <c r="J21" s="65"/>
      <c r="K21" s="65"/>
    </row>
    <row r="22" spans="2:11" x14ac:dyDescent="0.3">
      <c r="B22" s="72"/>
      <c r="C22" s="72"/>
      <c r="D22" s="72"/>
      <c r="E22" s="72"/>
      <c r="F22" s="65"/>
      <c r="G22" s="65"/>
      <c r="H22" s="65"/>
      <c r="I22" s="65"/>
      <c r="J22" s="65"/>
      <c r="K22" s="65"/>
    </row>
    <row r="23" spans="2:11" x14ac:dyDescent="0.3">
      <c r="B23" s="72"/>
      <c r="C23" s="72"/>
      <c r="D23" s="72"/>
      <c r="E23" s="72"/>
      <c r="F23" s="65"/>
      <c r="G23" s="65"/>
      <c r="H23" s="65"/>
      <c r="I23" s="65"/>
      <c r="J23" s="65"/>
      <c r="K23" s="65"/>
    </row>
    <row r="24" spans="2:11" x14ac:dyDescent="0.3">
      <c r="B24" s="72"/>
      <c r="C24" s="72"/>
      <c r="D24" s="72"/>
      <c r="E24" s="72"/>
      <c r="F24" s="65"/>
      <c r="G24" s="65"/>
      <c r="H24" s="65"/>
      <c r="I24" s="65"/>
      <c r="J24" s="65"/>
      <c r="K24" s="65"/>
    </row>
    <row r="25" spans="2:11" x14ac:dyDescent="0.3">
      <c r="B25" s="72"/>
      <c r="C25" s="72"/>
      <c r="D25" s="72"/>
      <c r="E25" s="72"/>
      <c r="F25" s="65"/>
      <c r="G25" s="65"/>
      <c r="H25" s="65"/>
      <c r="I25" s="65"/>
      <c r="J25" s="65"/>
      <c r="K25" s="65"/>
    </row>
    <row r="26" spans="2:11" x14ac:dyDescent="0.3">
      <c r="B26" s="72"/>
      <c r="C26" s="72"/>
      <c r="D26" s="72"/>
      <c r="E26" s="72"/>
      <c r="F26" s="65"/>
      <c r="G26" s="65"/>
      <c r="H26" s="65"/>
      <c r="I26" s="65"/>
      <c r="J26" s="65"/>
      <c r="K26" s="65"/>
    </row>
    <row r="27" spans="2:11" x14ac:dyDescent="0.3">
      <c r="B27" s="72"/>
      <c r="C27" s="72"/>
      <c r="D27" s="72"/>
      <c r="E27" s="72"/>
      <c r="F27" s="65"/>
      <c r="G27" s="65"/>
      <c r="H27" s="65"/>
      <c r="I27" s="65"/>
      <c r="J27" s="65"/>
      <c r="K27" s="65"/>
    </row>
    <row r="28" spans="2:11" x14ac:dyDescent="0.3">
      <c r="B28" s="63"/>
      <c r="C28" s="63"/>
      <c r="D28" s="63"/>
      <c r="E28" s="63"/>
      <c r="F28" s="63"/>
      <c r="G28" s="63"/>
      <c r="H28" s="63"/>
      <c r="I28" s="63"/>
      <c r="J28" s="63"/>
      <c r="K28" s="63"/>
    </row>
    <row r="29" spans="2:11" x14ac:dyDescent="0.3">
      <c r="B29" s="63" t="s">
        <v>23</v>
      </c>
      <c r="C29" s="63"/>
      <c r="D29" s="63"/>
      <c r="E29" s="63"/>
      <c r="F29" s="63"/>
      <c r="G29" s="63"/>
      <c r="H29" s="63"/>
      <c r="I29" s="63"/>
      <c r="J29" s="63"/>
      <c r="K29" s="63"/>
    </row>
    <row r="30" spans="2:11" x14ac:dyDescent="0.3">
      <c r="B30" s="63"/>
      <c r="C30" s="63"/>
      <c r="D30" s="63"/>
      <c r="E30" s="63"/>
      <c r="F30" s="63"/>
      <c r="G30" s="63"/>
      <c r="H30" s="63"/>
      <c r="I30" s="63"/>
      <c r="J30" s="63"/>
      <c r="K30" s="63"/>
    </row>
    <row r="31" spans="2:11" x14ac:dyDescent="0.3">
      <c r="B31" s="64" t="s">
        <v>24</v>
      </c>
      <c r="C31" s="64"/>
      <c r="D31" s="64"/>
      <c r="E31" s="64"/>
      <c r="F31" s="64"/>
      <c r="G31" s="64"/>
      <c r="H31" s="64"/>
      <c r="I31" s="64"/>
      <c r="J31" s="64"/>
      <c r="K31" s="64"/>
    </row>
    <row r="32" spans="2:11" x14ac:dyDescent="0.3">
      <c r="B32" s="62" t="s">
        <v>25</v>
      </c>
      <c r="C32" s="62"/>
      <c r="D32" s="62"/>
      <c r="E32" s="62"/>
      <c r="F32" s="62"/>
      <c r="G32" s="62"/>
      <c r="H32" s="62"/>
      <c r="I32" s="62"/>
      <c r="J32" s="62"/>
      <c r="K32" s="62"/>
    </row>
    <row r="33" spans="2:11" x14ac:dyDescent="0.3">
      <c r="B33" s="62" t="s">
        <v>26</v>
      </c>
      <c r="C33" s="62"/>
      <c r="D33" s="62"/>
      <c r="E33" s="62"/>
      <c r="F33" s="62"/>
      <c r="G33" s="62"/>
      <c r="H33" s="62"/>
      <c r="I33" s="62"/>
      <c r="J33" s="62"/>
      <c r="K33" s="62"/>
    </row>
    <row r="34" spans="2:11" x14ac:dyDescent="0.3">
      <c r="B34" s="62" t="s">
        <v>22</v>
      </c>
      <c r="C34" s="62"/>
      <c r="D34" s="62"/>
      <c r="E34" s="62"/>
      <c r="F34" s="62"/>
      <c r="G34" s="62"/>
      <c r="H34" s="62"/>
      <c r="I34" s="62"/>
      <c r="J34" s="62"/>
      <c r="K34" s="62"/>
    </row>
    <row r="35" spans="2:11" x14ac:dyDescent="0.3">
      <c r="B35" s="62" t="s">
        <v>27</v>
      </c>
      <c r="C35" s="62"/>
      <c r="D35" s="62"/>
      <c r="E35" s="62"/>
      <c r="F35" s="62"/>
      <c r="G35" s="62"/>
      <c r="H35" s="62"/>
      <c r="I35" s="62"/>
      <c r="J35" s="62"/>
      <c r="K35" s="62"/>
    </row>
  </sheetData>
  <mergeCells count="71">
    <mergeCell ref="H13:I13"/>
    <mergeCell ref="B8:C8"/>
    <mergeCell ref="B9:C9"/>
    <mergeCell ref="B10:C10"/>
    <mergeCell ref="B11:C11"/>
    <mergeCell ref="B12:C12"/>
    <mergeCell ref="B13:C13"/>
    <mergeCell ref="B5:K6"/>
    <mergeCell ref="E3:K3"/>
    <mergeCell ref="E2:K2"/>
    <mergeCell ref="B2:D3"/>
    <mergeCell ref="B4:K4"/>
    <mergeCell ref="B14:K15"/>
    <mergeCell ref="B16:K16"/>
    <mergeCell ref="B17:K17"/>
    <mergeCell ref="B18:C19"/>
    <mergeCell ref="B7:K7"/>
    <mergeCell ref="J11:K11"/>
    <mergeCell ref="J12:K12"/>
    <mergeCell ref="J13:K13"/>
    <mergeCell ref="D8:K8"/>
    <mergeCell ref="D9:K9"/>
    <mergeCell ref="D10:K10"/>
    <mergeCell ref="D13:G13"/>
    <mergeCell ref="D11:G11"/>
    <mergeCell ref="D12:G12"/>
    <mergeCell ref="H11:I11"/>
    <mergeCell ref="H12:I12"/>
    <mergeCell ref="B27:C27"/>
    <mergeCell ref="D20:E20"/>
    <mergeCell ref="D22:E22"/>
    <mergeCell ref="D23:E23"/>
    <mergeCell ref="D24:E24"/>
    <mergeCell ref="D25:E25"/>
    <mergeCell ref="D26:E26"/>
    <mergeCell ref="D27:E27"/>
    <mergeCell ref="B20:C20"/>
    <mergeCell ref="B21:C21"/>
    <mergeCell ref="B22:C22"/>
    <mergeCell ref="B23:C23"/>
    <mergeCell ref="B24:C24"/>
    <mergeCell ref="B25:C25"/>
    <mergeCell ref="F22:H22"/>
    <mergeCell ref="F23:H23"/>
    <mergeCell ref="F24:H24"/>
    <mergeCell ref="F25:H25"/>
    <mergeCell ref="B26:C26"/>
    <mergeCell ref="I27:K27"/>
    <mergeCell ref="I20:K20"/>
    <mergeCell ref="F20:H20"/>
    <mergeCell ref="D21:E21"/>
    <mergeCell ref="D18:E19"/>
    <mergeCell ref="F18:H19"/>
    <mergeCell ref="I18:K19"/>
    <mergeCell ref="F26:H26"/>
    <mergeCell ref="F27:H27"/>
    <mergeCell ref="I21:K21"/>
    <mergeCell ref="I22:K22"/>
    <mergeCell ref="I23:K23"/>
    <mergeCell ref="I24:K24"/>
    <mergeCell ref="I25:K25"/>
    <mergeCell ref="I26:K26"/>
    <mergeCell ref="F21:H21"/>
    <mergeCell ref="B33:K33"/>
    <mergeCell ref="B34:K34"/>
    <mergeCell ref="B35:K35"/>
    <mergeCell ref="B28:K28"/>
    <mergeCell ref="B29:K29"/>
    <mergeCell ref="B30:K30"/>
    <mergeCell ref="B31:K31"/>
    <mergeCell ref="B32:K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CAF9C-46AC-47A5-887C-C4449AD8F382}">
  <dimension ref="A1:FJ24"/>
  <sheetViews>
    <sheetView showGridLines="0" zoomScale="74" zoomScaleNormal="60" workbookViewId="0">
      <pane ySplit="11" topLeftCell="A12" activePane="bottomLeft" state="frozen"/>
      <selection pane="bottomLeft" activeCell="E12" sqref="E12:E23"/>
    </sheetView>
  </sheetViews>
  <sheetFormatPr baseColWidth="10" defaultColWidth="9.109375" defaultRowHeight="14.4" x14ac:dyDescent="0.3"/>
  <cols>
    <col min="1" max="1" width="6.6640625" style="16" customWidth="1"/>
    <col min="2" max="2" width="50.6640625" style="12" customWidth="1"/>
    <col min="3" max="3" width="15.5546875" style="10" customWidth="1"/>
    <col min="4" max="4" width="32.6640625" style="14" customWidth="1"/>
    <col min="5" max="5" width="14.6640625" style="10" customWidth="1"/>
    <col min="6" max="6" width="6.88671875" style="12" hidden="1" customWidth="1"/>
    <col min="7" max="7" width="16.33203125" style="10" customWidth="1"/>
    <col min="8" max="8" width="15.6640625" style="10" customWidth="1"/>
    <col min="9" max="9" width="11.88671875" style="10" customWidth="1"/>
    <col min="10" max="10" width="22.6640625" style="12" customWidth="1"/>
    <col min="11" max="11" width="5.6640625" style="12" customWidth="1"/>
    <col min="12" max="12" width="1.88671875" style="12" hidden="1" customWidth="1"/>
    <col min="13" max="166" width="2.44140625" style="12" customWidth="1"/>
    <col min="167" max="16384" width="9.109375" style="12"/>
  </cols>
  <sheetData>
    <row r="1" spans="1:166" s="1" customFormat="1" ht="5.0999999999999996" customHeight="1" x14ac:dyDescent="0.3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0"/>
      <c r="BF1" s="90"/>
      <c r="BG1" s="90"/>
      <c r="BH1" s="90"/>
      <c r="BI1" s="90"/>
      <c r="BJ1" s="90"/>
      <c r="BK1" s="90"/>
      <c r="BL1" s="90"/>
      <c r="BM1" s="90"/>
      <c r="BN1" s="90"/>
      <c r="BO1" s="90"/>
      <c r="BP1" s="90"/>
      <c r="BQ1" s="90"/>
      <c r="BR1" s="90"/>
      <c r="BS1" s="90"/>
      <c r="BT1" s="90"/>
      <c r="BU1" s="90"/>
      <c r="BV1" s="90"/>
      <c r="BW1" s="90"/>
      <c r="BX1" s="90"/>
      <c r="BY1" s="90"/>
      <c r="BZ1" s="90"/>
      <c r="CA1" s="90"/>
      <c r="CB1" s="90"/>
      <c r="CC1" s="90"/>
      <c r="CD1" s="90"/>
      <c r="CE1" s="90"/>
      <c r="CF1" s="90"/>
      <c r="CG1" s="90"/>
      <c r="CH1" s="90"/>
      <c r="CI1" s="90"/>
      <c r="CJ1" s="90"/>
      <c r="CK1" s="90"/>
      <c r="CL1" s="90"/>
      <c r="CM1" s="90"/>
      <c r="CN1" s="90"/>
      <c r="CO1" s="90"/>
      <c r="CP1" s="90"/>
      <c r="CQ1" s="90"/>
      <c r="CR1" s="90"/>
      <c r="CS1" s="90"/>
      <c r="CT1" s="90"/>
      <c r="CU1" s="90"/>
      <c r="CV1" s="90"/>
      <c r="CW1" s="90"/>
      <c r="CX1" s="90"/>
      <c r="CY1" s="90"/>
      <c r="CZ1" s="90"/>
      <c r="DA1" s="90"/>
      <c r="DB1" s="90"/>
      <c r="DC1" s="90"/>
      <c r="DD1" s="90"/>
      <c r="DE1" s="90"/>
      <c r="DF1" s="90"/>
      <c r="DG1" s="90"/>
      <c r="DH1" s="90"/>
      <c r="DI1" s="90"/>
      <c r="DJ1" s="90"/>
      <c r="DK1" s="90"/>
      <c r="DL1" s="90"/>
      <c r="DM1" s="90"/>
      <c r="DN1" s="90"/>
      <c r="DO1" s="90"/>
      <c r="DP1" s="90"/>
      <c r="DQ1" s="90"/>
      <c r="DR1" s="90"/>
      <c r="DS1" s="90"/>
      <c r="DT1" s="90"/>
      <c r="DU1" s="90"/>
      <c r="DV1" s="90"/>
      <c r="DW1" s="90"/>
      <c r="DX1" s="90"/>
      <c r="DY1" s="90"/>
      <c r="DZ1" s="90"/>
      <c r="EA1" s="90"/>
      <c r="EB1" s="90"/>
      <c r="EC1" s="90"/>
      <c r="ED1" s="90"/>
      <c r="EE1" s="90"/>
      <c r="EF1" s="90"/>
      <c r="EG1" s="90"/>
      <c r="EH1" s="90"/>
      <c r="EI1" s="90"/>
      <c r="EJ1" s="90"/>
      <c r="EK1" s="90"/>
      <c r="EL1" s="90"/>
      <c r="EM1" s="90"/>
      <c r="EN1" s="90"/>
      <c r="EO1" s="90"/>
      <c r="EP1" s="90"/>
      <c r="EQ1" s="90"/>
      <c r="ER1" s="90"/>
      <c r="ES1" s="90"/>
      <c r="ET1" s="90"/>
      <c r="EU1" s="90"/>
      <c r="EV1" s="90"/>
      <c r="EW1" s="90"/>
      <c r="EX1" s="90"/>
      <c r="EY1" s="90"/>
      <c r="EZ1" s="90"/>
      <c r="FA1" s="90"/>
      <c r="FB1" s="90"/>
      <c r="FC1" s="90"/>
      <c r="FD1" s="90"/>
      <c r="FE1" s="90"/>
      <c r="FF1" s="90"/>
      <c r="FG1" s="90"/>
      <c r="FH1" s="90"/>
      <c r="FI1" s="90"/>
      <c r="FJ1" s="90"/>
    </row>
    <row r="2" spans="1:166" s="3" customFormat="1" ht="21" x14ac:dyDescent="0.4">
      <c r="A2" s="91">
        <v>0</v>
      </c>
      <c r="B2" s="91"/>
      <c r="C2" s="91"/>
      <c r="D2" s="91"/>
      <c r="E2" s="91"/>
      <c r="F2" s="90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91"/>
      <c r="CP2" s="91"/>
      <c r="CQ2" s="91"/>
      <c r="CR2" s="91"/>
      <c r="CS2" s="91"/>
      <c r="CT2" s="91"/>
      <c r="CU2" s="91"/>
      <c r="CV2" s="91"/>
      <c r="CW2" s="91"/>
      <c r="CX2" s="91"/>
      <c r="CY2" s="91"/>
      <c r="CZ2" s="91"/>
      <c r="DA2" s="91"/>
      <c r="DB2" s="91"/>
      <c r="DC2" s="91"/>
      <c r="DD2" s="91"/>
      <c r="DE2" s="91"/>
      <c r="DF2" s="91"/>
      <c r="DG2" s="91"/>
      <c r="DH2" s="91"/>
      <c r="DI2" s="91"/>
      <c r="DJ2" s="91"/>
      <c r="DK2" s="91"/>
      <c r="DL2" s="91"/>
      <c r="DM2" s="91"/>
      <c r="DN2" s="91"/>
      <c r="DO2" s="91"/>
      <c r="DP2" s="91"/>
      <c r="DQ2" s="91"/>
      <c r="DR2" s="91"/>
      <c r="DS2" s="91"/>
      <c r="DT2" s="91"/>
      <c r="DU2" s="91"/>
      <c r="DV2" s="91"/>
      <c r="DW2" s="91"/>
      <c r="DX2" s="91"/>
      <c r="DY2" s="91"/>
      <c r="DZ2" s="91"/>
      <c r="EA2" s="91"/>
      <c r="EB2" s="91"/>
      <c r="EC2" s="91"/>
      <c r="ED2" s="91"/>
      <c r="EE2" s="91"/>
      <c r="EF2" s="91"/>
      <c r="EG2" s="91"/>
      <c r="EH2" s="91"/>
      <c r="EI2" s="91"/>
      <c r="EJ2" s="91"/>
      <c r="EK2" s="91"/>
      <c r="EL2" s="91"/>
      <c r="EM2" s="91"/>
      <c r="EN2" s="91"/>
      <c r="EO2" s="91"/>
      <c r="EP2" s="91"/>
      <c r="EQ2" s="91"/>
      <c r="ER2" s="91"/>
      <c r="ES2" s="91"/>
      <c r="ET2" s="91"/>
      <c r="EU2" s="91"/>
      <c r="EV2" s="91"/>
      <c r="EW2" s="91"/>
      <c r="EX2" s="91"/>
      <c r="EY2" s="91"/>
      <c r="EZ2" s="91"/>
      <c r="FA2" s="91"/>
      <c r="FB2" s="91"/>
      <c r="FC2" s="91"/>
      <c r="FD2" s="91"/>
      <c r="FE2" s="91"/>
      <c r="FF2" s="91"/>
      <c r="FG2" s="91"/>
      <c r="FH2" s="91"/>
      <c r="FI2" s="91"/>
      <c r="FJ2" s="91"/>
    </row>
    <row r="3" spans="1:166" s="3" customFormat="1" ht="21" x14ac:dyDescent="0.4">
      <c r="A3" s="91" t="s">
        <v>8</v>
      </c>
      <c r="B3" s="91"/>
      <c r="C3" s="91"/>
      <c r="D3" s="91"/>
      <c r="E3" s="91"/>
      <c r="F3" s="90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/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91"/>
      <c r="DL3" s="91"/>
      <c r="DM3" s="91"/>
      <c r="DN3" s="91"/>
      <c r="DO3" s="91"/>
      <c r="DP3" s="91"/>
      <c r="DQ3" s="91"/>
      <c r="DR3" s="91"/>
      <c r="DS3" s="91"/>
      <c r="DT3" s="91"/>
      <c r="DU3" s="91"/>
      <c r="DV3" s="91"/>
      <c r="DW3" s="91"/>
      <c r="DX3" s="91"/>
      <c r="DY3" s="91"/>
      <c r="DZ3" s="91"/>
      <c r="EA3" s="91"/>
      <c r="EB3" s="91"/>
      <c r="EC3" s="91"/>
      <c r="ED3" s="91"/>
      <c r="EE3" s="91"/>
      <c r="EF3" s="91"/>
      <c r="EG3" s="91"/>
      <c r="EH3" s="91"/>
      <c r="EI3" s="91"/>
      <c r="EJ3" s="91"/>
      <c r="EK3" s="91"/>
      <c r="EL3" s="91"/>
      <c r="EM3" s="91"/>
      <c r="EN3" s="91"/>
      <c r="EO3" s="91"/>
      <c r="EP3" s="91"/>
      <c r="EQ3" s="91"/>
      <c r="ER3" s="91"/>
      <c r="ES3" s="91"/>
      <c r="ET3" s="91"/>
      <c r="EU3" s="91"/>
      <c r="EV3" s="91"/>
      <c r="EW3" s="91"/>
      <c r="EX3" s="91"/>
      <c r="EY3" s="91"/>
      <c r="EZ3" s="91"/>
      <c r="FA3" s="91"/>
      <c r="FB3" s="91"/>
      <c r="FC3" s="91"/>
      <c r="FD3" s="91"/>
      <c r="FE3" s="91"/>
      <c r="FF3" s="91"/>
      <c r="FG3" s="91"/>
      <c r="FH3" s="91"/>
      <c r="FI3" s="91"/>
      <c r="FJ3" s="91"/>
    </row>
    <row r="4" spans="1:166" s="1" customFormat="1" ht="5.0999999999999996" customHeight="1" thickBot="1" x14ac:dyDescent="0.35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2"/>
      <c r="BF4" s="92"/>
      <c r="BG4" s="92"/>
      <c r="BH4" s="92"/>
      <c r="BI4" s="92"/>
      <c r="BJ4" s="92"/>
      <c r="BK4" s="92"/>
      <c r="BL4" s="92"/>
      <c r="BM4" s="92"/>
      <c r="BN4" s="92"/>
      <c r="BO4" s="92"/>
      <c r="BP4" s="92"/>
      <c r="BQ4" s="92"/>
      <c r="BR4" s="92"/>
      <c r="BS4" s="92"/>
      <c r="BT4" s="92"/>
      <c r="BU4" s="92"/>
      <c r="BV4" s="92"/>
      <c r="BW4" s="92"/>
      <c r="BX4" s="92"/>
      <c r="BY4" s="92"/>
      <c r="BZ4" s="92"/>
      <c r="CA4" s="92"/>
      <c r="CB4" s="92"/>
      <c r="CC4" s="92"/>
      <c r="CD4" s="92"/>
      <c r="CE4" s="92"/>
      <c r="CF4" s="92"/>
      <c r="CG4" s="92"/>
      <c r="CH4" s="92"/>
      <c r="CI4" s="92"/>
      <c r="CJ4" s="92"/>
      <c r="CK4" s="92"/>
      <c r="CL4" s="92"/>
      <c r="CM4" s="92"/>
      <c r="CN4" s="92"/>
      <c r="CO4" s="92"/>
      <c r="CP4" s="92"/>
      <c r="CQ4" s="92"/>
      <c r="CR4" s="92"/>
      <c r="CS4" s="92"/>
      <c r="CT4" s="92"/>
      <c r="CU4" s="92"/>
      <c r="CV4" s="92"/>
      <c r="CW4" s="92"/>
      <c r="CX4" s="92"/>
      <c r="CY4" s="92"/>
      <c r="CZ4" s="92"/>
      <c r="DA4" s="92"/>
      <c r="DB4" s="92"/>
      <c r="DC4" s="92"/>
      <c r="DD4" s="92"/>
      <c r="DE4" s="92"/>
      <c r="DF4" s="92"/>
      <c r="DG4" s="92"/>
      <c r="DH4" s="92"/>
      <c r="DI4" s="92"/>
      <c r="DJ4" s="92"/>
      <c r="DK4" s="92"/>
      <c r="DL4" s="92"/>
      <c r="DM4" s="92"/>
      <c r="DN4" s="92"/>
      <c r="DO4" s="92"/>
      <c r="DP4" s="92"/>
      <c r="DQ4" s="92"/>
      <c r="DR4" s="92"/>
      <c r="DS4" s="92"/>
      <c r="DT4" s="92"/>
      <c r="DU4" s="92"/>
      <c r="DV4" s="92"/>
      <c r="DW4" s="92"/>
      <c r="DX4" s="92"/>
      <c r="DY4" s="92"/>
      <c r="DZ4" s="92"/>
      <c r="EA4" s="92"/>
      <c r="EB4" s="92"/>
      <c r="EC4" s="92"/>
      <c r="ED4" s="92"/>
      <c r="EE4" s="92"/>
      <c r="EF4" s="92"/>
      <c r="EG4" s="92"/>
      <c r="EH4" s="92"/>
      <c r="EI4" s="92"/>
      <c r="EJ4" s="92"/>
      <c r="EK4" s="92"/>
      <c r="EL4" s="92"/>
      <c r="EM4" s="92"/>
      <c r="EN4" s="92"/>
      <c r="EO4" s="92"/>
      <c r="EP4" s="92"/>
      <c r="EQ4" s="92"/>
      <c r="ER4" s="92"/>
      <c r="ES4" s="92"/>
      <c r="ET4" s="92"/>
      <c r="EU4" s="92"/>
      <c r="EV4" s="92"/>
      <c r="EW4" s="92"/>
      <c r="EX4" s="92"/>
      <c r="EY4" s="92"/>
      <c r="EZ4" s="92"/>
      <c r="FA4" s="92"/>
      <c r="FB4" s="92"/>
      <c r="FC4" s="92"/>
      <c r="FD4" s="92"/>
      <c r="FE4" s="92"/>
      <c r="FF4" s="92"/>
      <c r="FG4" s="92"/>
      <c r="FH4" s="92"/>
      <c r="FI4" s="92"/>
      <c r="FJ4" s="92"/>
    </row>
    <row r="5" spans="1:166" s="1" customFormat="1" ht="5.0999999999999996" customHeight="1" thickTop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</row>
    <row r="6" spans="1:166" ht="18" customHeight="1" x14ac:dyDescent="0.3">
      <c r="A6" s="4"/>
      <c r="B6" s="5"/>
      <c r="C6" s="6"/>
      <c r="D6" s="7"/>
      <c r="E6" s="6"/>
      <c r="F6" s="8"/>
      <c r="G6" s="9"/>
      <c r="H6" s="9"/>
      <c r="J6" s="11"/>
    </row>
    <row r="7" spans="1:166" ht="12" customHeight="1" x14ac:dyDescent="0.3">
      <c r="A7" s="13"/>
      <c r="J7" s="11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</row>
    <row r="8" spans="1:166" ht="17.25" customHeight="1" x14ac:dyDescent="0.3">
      <c r="B8" s="17" t="s">
        <v>70</v>
      </c>
      <c r="C8" s="93">
        <v>46055</v>
      </c>
      <c r="D8" s="93"/>
      <c r="E8" s="18"/>
      <c r="F8" s="18"/>
      <c r="I8" s="19" t="s">
        <v>71</v>
      </c>
      <c r="J8" s="20">
        <v>1</v>
      </c>
      <c r="M8" s="83" t="str">
        <f>"Semana "&amp;(M10-($C$8-WEEKDAY($C$8,1)+2))/7+1</f>
        <v>Semana 1</v>
      </c>
      <c r="N8" s="84"/>
      <c r="O8" s="84"/>
      <c r="P8" s="84"/>
      <c r="Q8" s="84"/>
      <c r="R8" s="84"/>
      <c r="S8" s="85"/>
      <c r="T8" s="83" t="str">
        <f>"Semana "&amp;(T10-($C$8-WEEKDAY($C$8,1)+2))/7+1</f>
        <v>Semana 2</v>
      </c>
      <c r="U8" s="84"/>
      <c r="V8" s="84"/>
      <c r="W8" s="84"/>
      <c r="X8" s="84"/>
      <c r="Y8" s="84"/>
      <c r="Z8" s="85"/>
      <c r="AA8" s="83" t="str">
        <f>"Semana "&amp;(AA10-($C$8-WEEKDAY($C$8,1)+2))/7+1</f>
        <v>Semana 3</v>
      </c>
      <c r="AB8" s="84"/>
      <c r="AC8" s="84"/>
      <c r="AD8" s="84"/>
      <c r="AE8" s="84"/>
      <c r="AF8" s="84"/>
      <c r="AG8" s="85"/>
      <c r="AH8" s="83" t="str">
        <f>"Semana "&amp;(AH10-($C$8-WEEKDAY($C$8,1)+2))/7+1</f>
        <v>Semana 4</v>
      </c>
      <c r="AI8" s="84"/>
      <c r="AJ8" s="84"/>
      <c r="AK8" s="84"/>
      <c r="AL8" s="84"/>
      <c r="AM8" s="84"/>
      <c r="AN8" s="85"/>
      <c r="AO8" s="83" t="str">
        <f>"Semana "&amp;(AO10-($C$8-WEEKDAY($C$8,1)+2))/7+1</f>
        <v>Semana 5</v>
      </c>
      <c r="AP8" s="84"/>
      <c r="AQ8" s="84"/>
      <c r="AR8" s="84"/>
      <c r="AS8" s="84"/>
      <c r="AT8" s="84"/>
      <c r="AU8" s="85"/>
      <c r="AV8" s="83" t="str">
        <f>"Semana "&amp;(AV10-($C$8-WEEKDAY($C$8,1)+2))/7+1</f>
        <v>Semana 6</v>
      </c>
      <c r="AW8" s="84"/>
      <c r="AX8" s="84"/>
      <c r="AY8" s="84"/>
      <c r="AZ8" s="84"/>
      <c r="BA8" s="84"/>
      <c r="BB8" s="85"/>
      <c r="BC8" s="83" t="str">
        <f>"Semana "&amp;(BC10-($C$8-WEEKDAY($C$8,1)+2))/7+1</f>
        <v>Semana 7</v>
      </c>
      <c r="BD8" s="84"/>
      <c r="BE8" s="84"/>
      <c r="BF8" s="84"/>
      <c r="BG8" s="84"/>
      <c r="BH8" s="84"/>
      <c r="BI8" s="85"/>
      <c r="BJ8" s="83" t="str">
        <f>"Semana "&amp;(BJ10-($C$8-WEEKDAY($C$8,1)+2))/7+1</f>
        <v>Semana 8</v>
      </c>
      <c r="BK8" s="84"/>
      <c r="BL8" s="84"/>
      <c r="BM8" s="84"/>
      <c r="BN8" s="84"/>
      <c r="BO8" s="84"/>
      <c r="BP8" s="85"/>
      <c r="BQ8" s="83" t="str">
        <f>"Semana "&amp;(BQ10-($C$8-WEEKDAY($C$8,1)+2))/7+1</f>
        <v>Semana 9</v>
      </c>
      <c r="BR8" s="84"/>
      <c r="BS8" s="84"/>
      <c r="BT8" s="84"/>
      <c r="BU8" s="84"/>
      <c r="BV8" s="84"/>
      <c r="BW8" s="85"/>
      <c r="BX8" s="83" t="str">
        <f>"Semana "&amp;(BX10-($C$8-WEEKDAY($C$8,1)+2))/7+1</f>
        <v>Semana 10</v>
      </c>
      <c r="BY8" s="84"/>
      <c r="BZ8" s="84"/>
      <c r="CA8" s="84"/>
      <c r="CB8" s="84"/>
      <c r="CC8" s="84"/>
      <c r="CD8" s="85"/>
      <c r="CE8" s="83" t="str">
        <f>"Semana "&amp;(CE10-($C$8-WEEKDAY($C$8,1)+2))/7+1</f>
        <v>Semana 11</v>
      </c>
      <c r="CF8" s="84"/>
      <c r="CG8" s="84"/>
      <c r="CH8" s="84"/>
      <c r="CI8" s="84"/>
      <c r="CJ8" s="84"/>
      <c r="CK8" s="85"/>
      <c r="CL8" s="83" t="str">
        <f>"Semana "&amp;(CL10-($C$8-WEEKDAY($C$8,1)+2))/7+1</f>
        <v>Semana 12</v>
      </c>
      <c r="CM8" s="84"/>
      <c r="CN8" s="84"/>
      <c r="CO8" s="84"/>
      <c r="CP8" s="84"/>
      <c r="CQ8" s="84"/>
      <c r="CR8" s="85"/>
      <c r="CS8" s="83" t="str">
        <f>"Semana "&amp;(CS10-($C$8-WEEKDAY($C$8,1)+2))/7+1</f>
        <v>Semana 13</v>
      </c>
      <c r="CT8" s="84"/>
      <c r="CU8" s="84"/>
      <c r="CV8" s="84"/>
      <c r="CW8" s="84"/>
      <c r="CX8" s="84"/>
      <c r="CY8" s="85"/>
      <c r="CZ8" s="83" t="str">
        <f>"Semana "&amp;(CZ10-($C$8-WEEKDAY($C$8,1)+2))/7+1</f>
        <v>Semana 14</v>
      </c>
      <c r="DA8" s="84"/>
      <c r="DB8" s="84"/>
      <c r="DC8" s="84"/>
      <c r="DD8" s="84"/>
      <c r="DE8" s="84"/>
      <c r="DF8" s="85"/>
      <c r="DG8" s="83" t="str">
        <f>"Semana "&amp;(DG10-($C$8-WEEKDAY($C$8,1)+2))/7+1</f>
        <v>Semana 15</v>
      </c>
      <c r="DH8" s="84"/>
      <c r="DI8" s="84"/>
      <c r="DJ8" s="84"/>
      <c r="DK8" s="84"/>
      <c r="DL8" s="84"/>
      <c r="DM8" s="85"/>
      <c r="DN8" s="83" t="str">
        <f>"Semana "&amp;(DN10-($C$8-WEEKDAY($C$8,1)+2))/7+1</f>
        <v>Semana 16</v>
      </c>
      <c r="DO8" s="84"/>
      <c r="DP8" s="84"/>
      <c r="DQ8" s="84"/>
      <c r="DR8" s="84"/>
      <c r="DS8" s="84"/>
      <c r="DT8" s="85"/>
      <c r="DU8" s="83" t="str">
        <f>"Semana "&amp;(DU10-($C$8-WEEKDAY($C$8,1)+2))/7+1</f>
        <v>Semana 17</v>
      </c>
      <c r="DV8" s="84"/>
      <c r="DW8" s="84"/>
      <c r="DX8" s="84"/>
      <c r="DY8" s="84"/>
      <c r="DZ8" s="84"/>
      <c r="EA8" s="85"/>
      <c r="EB8" s="83" t="str">
        <f>"Semana "&amp;(EB10-($C$8-WEEKDAY($C$8,1)+2))/7+1</f>
        <v>Semana 18</v>
      </c>
      <c r="EC8" s="84"/>
      <c r="ED8" s="84"/>
      <c r="EE8" s="84"/>
      <c r="EF8" s="84"/>
      <c r="EG8" s="84"/>
      <c r="EH8" s="85"/>
      <c r="EI8" s="83" t="str">
        <f>"Semana "&amp;(EI10-($C$8-WEEKDAY($C$8,1)+2))/7+1</f>
        <v>Semana 19</v>
      </c>
      <c r="EJ8" s="84"/>
      <c r="EK8" s="84"/>
      <c r="EL8" s="84"/>
      <c r="EM8" s="84"/>
      <c r="EN8" s="84"/>
      <c r="EO8" s="85"/>
      <c r="EP8" s="83" t="str">
        <f>"Semana "&amp;(EP10-($C$8-WEEKDAY($C$8,1)+2))/7+1</f>
        <v>Semana 20</v>
      </c>
      <c r="EQ8" s="84"/>
      <c r="ER8" s="84"/>
      <c r="ES8" s="84"/>
      <c r="ET8" s="84"/>
      <c r="EU8" s="84"/>
      <c r="EV8" s="85"/>
      <c r="EW8" s="83" t="str">
        <f>"Semana "&amp;(EW10-($C$8-WEEKDAY($C$8,1)+2))/7+1</f>
        <v>Semana 21</v>
      </c>
      <c r="EX8" s="84"/>
      <c r="EY8" s="84"/>
      <c r="EZ8" s="84"/>
      <c r="FA8" s="84"/>
      <c r="FB8" s="84"/>
      <c r="FC8" s="85"/>
      <c r="FD8" s="83" t="str">
        <f>"Semana "&amp;(FD10-($C$8-WEEKDAY($C$8,1)+2))/7+1</f>
        <v>Semana 22</v>
      </c>
      <c r="FE8" s="84"/>
      <c r="FF8" s="84"/>
      <c r="FG8" s="84"/>
      <c r="FH8" s="84"/>
      <c r="FI8" s="84"/>
      <c r="FJ8" s="85"/>
    </row>
    <row r="9" spans="1:166" ht="17.25" customHeight="1" x14ac:dyDescent="0.3">
      <c r="B9" s="17" t="s">
        <v>72</v>
      </c>
      <c r="C9" s="89" t="s">
        <v>73</v>
      </c>
      <c r="D9" s="89"/>
      <c r="E9" s="21"/>
      <c r="F9" s="21"/>
      <c r="M9" s="86">
        <v>46055</v>
      </c>
      <c r="N9" s="87"/>
      <c r="O9" s="87"/>
      <c r="P9" s="87"/>
      <c r="Q9" s="87"/>
      <c r="R9" s="87"/>
      <c r="S9" s="88"/>
      <c r="T9" s="86">
        <v>46062</v>
      </c>
      <c r="U9" s="87"/>
      <c r="V9" s="87"/>
      <c r="W9" s="87"/>
      <c r="X9" s="87"/>
      <c r="Y9" s="87"/>
      <c r="Z9" s="88"/>
      <c r="AA9" s="86">
        <v>46069</v>
      </c>
      <c r="AB9" s="87"/>
      <c r="AC9" s="87"/>
      <c r="AD9" s="87"/>
      <c r="AE9" s="87"/>
      <c r="AF9" s="87"/>
      <c r="AG9" s="88"/>
      <c r="AH9" s="86">
        <v>46076</v>
      </c>
      <c r="AI9" s="87"/>
      <c r="AJ9" s="87"/>
      <c r="AK9" s="87"/>
      <c r="AL9" s="87"/>
      <c r="AM9" s="87"/>
      <c r="AN9" s="88"/>
      <c r="AO9" s="86">
        <v>46083</v>
      </c>
      <c r="AP9" s="87"/>
      <c r="AQ9" s="87"/>
      <c r="AR9" s="87"/>
      <c r="AS9" s="87"/>
      <c r="AT9" s="87"/>
      <c r="AU9" s="88"/>
      <c r="AV9" s="86">
        <v>46090</v>
      </c>
      <c r="AW9" s="87"/>
      <c r="AX9" s="87"/>
      <c r="AY9" s="87"/>
      <c r="AZ9" s="87"/>
      <c r="BA9" s="87"/>
      <c r="BB9" s="88"/>
      <c r="BC9" s="86">
        <v>46097</v>
      </c>
      <c r="BD9" s="87"/>
      <c r="BE9" s="87"/>
      <c r="BF9" s="87"/>
      <c r="BG9" s="87"/>
      <c r="BH9" s="87"/>
      <c r="BI9" s="88"/>
      <c r="BJ9" s="86">
        <v>46104</v>
      </c>
      <c r="BK9" s="87"/>
      <c r="BL9" s="87"/>
      <c r="BM9" s="87"/>
      <c r="BN9" s="87"/>
      <c r="BO9" s="87"/>
      <c r="BP9" s="88"/>
      <c r="BQ9" s="86">
        <v>46111</v>
      </c>
      <c r="BR9" s="87"/>
      <c r="BS9" s="87"/>
      <c r="BT9" s="87"/>
      <c r="BU9" s="87"/>
      <c r="BV9" s="87"/>
      <c r="BW9" s="88"/>
      <c r="BX9" s="86">
        <v>46118</v>
      </c>
      <c r="BY9" s="87"/>
      <c r="BZ9" s="87"/>
      <c r="CA9" s="87"/>
      <c r="CB9" s="87"/>
      <c r="CC9" s="87"/>
      <c r="CD9" s="88"/>
      <c r="CE9" s="86">
        <v>46125</v>
      </c>
      <c r="CF9" s="87"/>
      <c r="CG9" s="87"/>
      <c r="CH9" s="87"/>
      <c r="CI9" s="87"/>
      <c r="CJ9" s="87"/>
      <c r="CK9" s="88"/>
      <c r="CL9" s="86">
        <v>46132</v>
      </c>
      <c r="CM9" s="87"/>
      <c r="CN9" s="87"/>
      <c r="CO9" s="87"/>
      <c r="CP9" s="87"/>
      <c r="CQ9" s="87"/>
      <c r="CR9" s="88"/>
      <c r="CS9" s="86">
        <v>46139</v>
      </c>
      <c r="CT9" s="87"/>
      <c r="CU9" s="87"/>
      <c r="CV9" s="87"/>
      <c r="CW9" s="87"/>
      <c r="CX9" s="87"/>
      <c r="CY9" s="88"/>
      <c r="CZ9" s="86">
        <v>46146</v>
      </c>
      <c r="DA9" s="87"/>
      <c r="DB9" s="87"/>
      <c r="DC9" s="87"/>
      <c r="DD9" s="87"/>
      <c r="DE9" s="87"/>
      <c r="DF9" s="88"/>
      <c r="DG9" s="86">
        <v>46153</v>
      </c>
      <c r="DH9" s="87"/>
      <c r="DI9" s="87"/>
      <c r="DJ9" s="87"/>
      <c r="DK9" s="87"/>
      <c r="DL9" s="87"/>
      <c r="DM9" s="88"/>
      <c r="DN9" s="86">
        <v>46160</v>
      </c>
      <c r="DO9" s="87"/>
      <c r="DP9" s="87"/>
      <c r="DQ9" s="87"/>
      <c r="DR9" s="87"/>
      <c r="DS9" s="87"/>
      <c r="DT9" s="88"/>
      <c r="DU9" s="86">
        <v>46167</v>
      </c>
      <c r="DV9" s="87"/>
      <c r="DW9" s="87"/>
      <c r="DX9" s="87"/>
      <c r="DY9" s="87"/>
      <c r="DZ9" s="87"/>
      <c r="EA9" s="88"/>
      <c r="EB9" s="86">
        <v>46174</v>
      </c>
      <c r="EC9" s="87"/>
      <c r="ED9" s="87"/>
      <c r="EE9" s="87"/>
      <c r="EF9" s="87"/>
      <c r="EG9" s="87"/>
      <c r="EH9" s="88"/>
      <c r="EI9" s="86">
        <v>46181</v>
      </c>
      <c r="EJ9" s="87"/>
      <c r="EK9" s="87"/>
      <c r="EL9" s="87"/>
      <c r="EM9" s="87"/>
      <c r="EN9" s="87"/>
      <c r="EO9" s="88"/>
      <c r="EP9" s="86">
        <v>46188</v>
      </c>
      <c r="EQ9" s="87"/>
      <c r="ER9" s="87"/>
      <c r="ES9" s="87"/>
      <c r="ET9" s="87"/>
      <c r="EU9" s="87"/>
      <c r="EV9" s="88"/>
      <c r="EW9" s="86">
        <v>46195</v>
      </c>
      <c r="EX9" s="87"/>
      <c r="EY9" s="87"/>
      <c r="EZ9" s="87"/>
      <c r="FA9" s="87"/>
      <c r="FB9" s="87"/>
      <c r="FC9" s="88"/>
      <c r="FD9" s="86">
        <v>46202</v>
      </c>
      <c r="FE9" s="87"/>
      <c r="FF9" s="87"/>
      <c r="FG9" s="87"/>
      <c r="FH9" s="87"/>
      <c r="FI9" s="87"/>
      <c r="FJ9" s="88"/>
    </row>
    <row r="10" spans="1:166" x14ac:dyDescent="0.3">
      <c r="M10" s="22">
        <f>C8-WEEKDAY(C8,1)+2+7*(J8-1)</f>
        <v>46055</v>
      </c>
      <c r="N10" s="23">
        <f>M10+1</f>
        <v>46056</v>
      </c>
      <c r="O10" s="23">
        <f t="shared" ref="O10:BI10" si="0">N10+1</f>
        <v>46057</v>
      </c>
      <c r="P10" s="23">
        <f t="shared" si="0"/>
        <v>46058</v>
      </c>
      <c r="Q10" s="23">
        <f t="shared" si="0"/>
        <v>46059</v>
      </c>
      <c r="R10" s="23">
        <f t="shared" si="0"/>
        <v>46060</v>
      </c>
      <c r="S10" s="24">
        <f t="shared" si="0"/>
        <v>46061</v>
      </c>
      <c r="T10" s="22">
        <f t="shared" si="0"/>
        <v>46062</v>
      </c>
      <c r="U10" s="23">
        <f t="shared" si="0"/>
        <v>46063</v>
      </c>
      <c r="V10" s="23">
        <f t="shared" si="0"/>
        <v>46064</v>
      </c>
      <c r="W10" s="23">
        <f t="shared" si="0"/>
        <v>46065</v>
      </c>
      <c r="X10" s="23">
        <f t="shared" si="0"/>
        <v>46066</v>
      </c>
      <c r="Y10" s="23">
        <f t="shared" si="0"/>
        <v>46067</v>
      </c>
      <c r="Z10" s="24">
        <f t="shared" si="0"/>
        <v>46068</v>
      </c>
      <c r="AA10" s="22">
        <f t="shared" si="0"/>
        <v>46069</v>
      </c>
      <c r="AB10" s="23">
        <f t="shared" si="0"/>
        <v>46070</v>
      </c>
      <c r="AC10" s="23">
        <f t="shared" si="0"/>
        <v>46071</v>
      </c>
      <c r="AD10" s="23">
        <f t="shared" si="0"/>
        <v>46072</v>
      </c>
      <c r="AE10" s="23">
        <f t="shared" si="0"/>
        <v>46073</v>
      </c>
      <c r="AF10" s="23">
        <f t="shared" si="0"/>
        <v>46074</v>
      </c>
      <c r="AG10" s="24">
        <f t="shared" si="0"/>
        <v>46075</v>
      </c>
      <c r="AH10" s="22">
        <f t="shared" si="0"/>
        <v>46076</v>
      </c>
      <c r="AI10" s="23">
        <f t="shared" si="0"/>
        <v>46077</v>
      </c>
      <c r="AJ10" s="23">
        <f t="shared" si="0"/>
        <v>46078</v>
      </c>
      <c r="AK10" s="23">
        <f t="shared" si="0"/>
        <v>46079</v>
      </c>
      <c r="AL10" s="23">
        <f t="shared" si="0"/>
        <v>46080</v>
      </c>
      <c r="AM10" s="23">
        <f t="shared" si="0"/>
        <v>46081</v>
      </c>
      <c r="AN10" s="24">
        <f t="shared" si="0"/>
        <v>46082</v>
      </c>
      <c r="AO10" s="22">
        <f t="shared" si="0"/>
        <v>46083</v>
      </c>
      <c r="AP10" s="23">
        <f t="shared" si="0"/>
        <v>46084</v>
      </c>
      <c r="AQ10" s="23">
        <f t="shared" si="0"/>
        <v>46085</v>
      </c>
      <c r="AR10" s="23">
        <f t="shared" si="0"/>
        <v>46086</v>
      </c>
      <c r="AS10" s="23">
        <f t="shared" si="0"/>
        <v>46087</v>
      </c>
      <c r="AT10" s="23">
        <f t="shared" si="0"/>
        <v>46088</v>
      </c>
      <c r="AU10" s="24">
        <f t="shared" si="0"/>
        <v>46089</v>
      </c>
      <c r="AV10" s="22">
        <f t="shared" si="0"/>
        <v>46090</v>
      </c>
      <c r="AW10" s="23">
        <f t="shared" si="0"/>
        <v>46091</v>
      </c>
      <c r="AX10" s="23">
        <f t="shared" si="0"/>
        <v>46092</v>
      </c>
      <c r="AY10" s="23">
        <f t="shared" si="0"/>
        <v>46093</v>
      </c>
      <c r="AZ10" s="23">
        <f t="shared" si="0"/>
        <v>46094</v>
      </c>
      <c r="BA10" s="23">
        <f t="shared" si="0"/>
        <v>46095</v>
      </c>
      <c r="BB10" s="24">
        <f t="shared" si="0"/>
        <v>46096</v>
      </c>
      <c r="BC10" s="22">
        <f t="shared" si="0"/>
        <v>46097</v>
      </c>
      <c r="BD10" s="23">
        <f t="shared" si="0"/>
        <v>46098</v>
      </c>
      <c r="BE10" s="23">
        <f t="shared" si="0"/>
        <v>46099</v>
      </c>
      <c r="BF10" s="23">
        <f t="shared" si="0"/>
        <v>46100</v>
      </c>
      <c r="BG10" s="23">
        <f t="shared" si="0"/>
        <v>46101</v>
      </c>
      <c r="BH10" s="23">
        <f t="shared" si="0"/>
        <v>46102</v>
      </c>
      <c r="BI10" s="24">
        <f t="shared" si="0"/>
        <v>46103</v>
      </c>
      <c r="BJ10" s="22">
        <f t="shared" ref="BJ10" si="1">BI10+1</f>
        <v>46104</v>
      </c>
      <c r="BK10" s="23">
        <f t="shared" ref="BK10" si="2">BJ10+1</f>
        <v>46105</v>
      </c>
      <c r="BL10" s="23">
        <f t="shared" ref="BL10" si="3">BK10+1</f>
        <v>46106</v>
      </c>
      <c r="BM10" s="23">
        <f t="shared" ref="BM10" si="4">BL10+1</f>
        <v>46107</v>
      </c>
      <c r="BN10" s="23">
        <f t="shared" ref="BN10" si="5">BM10+1</f>
        <v>46108</v>
      </c>
      <c r="BO10" s="23">
        <f t="shared" ref="BO10" si="6">BN10+1</f>
        <v>46109</v>
      </c>
      <c r="BP10" s="24">
        <f t="shared" ref="BP10" si="7">BO10+1</f>
        <v>46110</v>
      </c>
      <c r="BQ10" s="22">
        <f t="shared" ref="BQ10" si="8">BP10+1</f>
        <v>46111</v>
      </c>
      <c r="BR10" s="23">
        <f t="shared" ref="BR10" si="9">BQ10+1</f>
        <v>46112</v>
      </c>
      <c r="BS10" s="23">
        <f t="shared" ref="BS10" si="10">BR10+1</f>
        <v>46113</v>
      </c>
      <c r="BT10" s="23">
        <f t="shared" ref="BT10" si="11">BS10+1</f>
        <v>46114</v>
      </c>
      <c r="BU10" s="23">
        <f t="shared" ref="BU10" si="12">BT10+1</f>
        <v>46115</v>
      </c>
      <c r="BV10" s="23">
        <f t="shared" ref="BV10" si="13">BU10+1</f>
        <v>46116</v>
      </c>
      <c r="BW10" s="24">
        <f t="shared" ref="BW10" si="14">BV10+1</f>
        <v>46117</v>
      </c>
      <c r="BX10" s="22">
        <f t="shared" ref="BX10" si="15">BW10+1</f>
        <v>46118</v>
      </c>
      <c r="BY10" s="23">
        <f t="shared" ref="BY10" si="16">BX10+1</f>
        <v>46119</v>
      </c>
      <c r="BZ10" s="23">
        <f t="shared" ref="BZ10" si="17">BY10+1</f>
        <v>46120</v>
      </c>
      <c r="CA10" s="23">
        <f t="shared" ref="CA10" si="18">BZ10+1</f>
        <v>46121</v>
      </c>
      <c r="CB10" s="23">
        <f t="shared" ref="CB10" si="19">CA10+1</f>
        <v>46122</v>
      </c>
      <c r="CC10" s="23">
        <f t="shared" ref="CC10" si="20">CB10+1</f>
        <v>46123</v>
      </c>
      <c r="CD10" s="24">
        <f t="shared" ref="CD10" si="21">CC10+1</f>
        <v>46124</v>
      </c>
      <c r="CE10" s="22">
        <f t="shared" ref="CE10" si="22">CD10+1</f>
        <v>46125</v>
      </c>
      <c r="CF10" s="23">
        <f t="shared" ref="CF10" si="23">CE10+1</f>
        <v>46126</v>
      </c>
      <c r="CG10" s="23">
        <f t="shared" ref="CG10" si="24">CF10+1</f>
        <v>46127</v>
      </c>
      <c r="CH10" s="23">
        <f t="shared" ref="CH10" si="25">CG10+1</f>
        <v>46128</v>
      </c>
      <c r="CI10" s="23">
        <f t="shared" ref="CI10" si="26">CH10+1</f>
        <v>46129</v>
      </c>
      <c r="CJ10" s="23">
        <f t="shared" ref="CJ10" si="27">CI10+1</f>
        <v>46130</v>
      </c>
      <c r="CK10" s="24">
        <f t="shared" ref="CK10" si="28">CJ10+1</f>
        <v>46131</v>
      </c>
      <c r="CL10" s="22">
        <f t="shared" ref="CL10" si="29">CK10+1</f>
        <v>46132</v>
      </c>
      <c r="CM10" s="23">
        <f t="shared" ref="CM10" si="30">CL10+1</f>
        <v>46133</v>
      </c>
      <c r="CN10" s="23">
        <f t="shared" ref="CN10" si="31">CM10+1</f>
        <v>46134</v>
      </c>
      <c r="CO10" s="23">
        <f t="shared" ref="CO10" si="32">CN10+1</f>
        <v>46135</v>
      </c>
      <c r="CP10" s="23">
        <f t="shared" ref="CP10" si="33">CO10+1</f>
        <v>46136</v>
      </c>
      <c r="CQ10" s="23">
        <f t="shared" ref="CQ10" si="34">CP10+1</f>
        <v>46137</v>
      </c>
      <c r="CR10" s="24">
        <f t="shared" ref="CR10" si="35">CQ10+1</f>
        <v>46138</v>
      </c>
      <c r="CS10" s="22">
        <f t="shared" ref="CS10" si="36">CR10+1</f>
        <v>46139</v>
      </c>
      <c r="CT10" s="23">
        <f t="shared" ref="CT10" si="37">CS10+1</f>
        <v>46140</v>
      </c>
      <c r="CU10" s="23">
        <f t="shared" ref="CU10" si="38">CT10+1</f>
        <v>46141</v>
      </c>
      <c r="CV10" s="23">
        <f t="shared" ref="CV10" si="39">CU10+1</f>
        <v>46142</v>
      </c>
      <c r="CW10" s="23">
        <f t="shared" ref="CW10" si="40">CV10+1</f>
        <v>46143</v>
      </c>
      <c r="CX10" s="23">
        <f t="shared" ref="CX10" si="41">CW10+1</f>
        <v>46144</v>
      </c>
      <c r="CY10" s="24">
        <f t="shared" ref="CY10" si="42">CX10+1</f>
        <v>46145</v>
      </c>
      <c r="CZ10" s="22">
        <f t="shared" ref="CZ10" si="43">CY10+1</f>
        <v>46146</v>
      </c>
      <c r="DA10" s="23">
        <f t="shared" ref="DA10" si="44">CZ10+1</f>
        <v>46147</v>
      </c>
      <c r="DB10" s="23">
        <f t="shared" ref="DB10" si="45">DA10+1</f>
        <v>46148</v>
      </c>
      <c r="DC10" s="23">
        <f t="shared" ref="DC10" si="46">DB10+1</f>
        <v>46149</v>
      </c>
      <c r="DD10" s="23">
        <f t="shared" ref="DD10" si="47">DC10+1</f>
        <v>46150</v>
      </c>
      <c r="DE10" s="23">
        <f t="shared" ref="DE10" si="48">DD10+1</f>
        <v>46151</v>
      </c>
      <c r="DF10" s="24">
        <f t="shared" ref="DF10" si="49">DE10+1</f>
        <v>46152</v>
      </c>
      <c r="DG10" s="22">
        <f t="shared" ref="DG10" si="50">DF10+1</f>
        <v>46153</v>
      </c>
      <c r="DH10" s="23">
        <f t="shared" ref="DH10" si="51">DG10+1</f>
        <v>46154</v>
      </c>
      <c r="DI10" s="23">
        <f t="shared" ref="DI10" si="52">DH10+1</f>
        <v>46155</v>
      </c>
      <c r="DJ10" s="23">
        <f t="shared" ref="DJ10" si="53">DI10+1</f>
        <v>46156</v>
      </c>
      <c r="DK10" s="23">
        <f t="shared" ref="DK10" si="54">DJ10+1</f>
        <v>46157</v>
      </c>
      <c r="DL10" s="23">
        <f t="shared" ref="DL10" si="55">DK10+1</f>
        <v>46158</v>
      </c>
      <c r="DM10" s="24">
        <f t="shared" ref="DM10" si="56">DL10+1</f>
        <v>46159</v>
      </c>
      <c r="DN10" s="22">
        <f t="shared" ref="DN10" si="57">DM10+1</f>
        <v>46160</v>
      </c>
      <c r="DO10" s="23">
        <f t="shared" ref="DO10" si="58">DN10+1</f>
        <v>46161</v>
      </c>
      <c r="DP10" s="23">
        <f t="shared" ref="DP10" si="59">DO10+1</f>
        <v>46162</v>
      </c>
      <c r="DQ10" s="23">
        <f t="shared" ref="DQ10" si="60">DP10+1</f>
        <v>46163</v>
      </c>
      <c r="DR10" s="23">
        <f t="shared" ref="DR10" si="61">DQ10+1</f>
        <v>46164</v>
      </c>
      <c r="DS10" s="23">
        <f t="shared" ref="DS10" si="62">DR10+1</f>
        <v>46165</v>
      </c>
      <c r="DT10" s="24">
        <f t="shared" ref="DT10" si="63">DS10+1</f>
        <v>46166</v>
      </c>
      <c r="DU10" s="22">
        <f t="shared" ref="DU10" si="64">DT10+1</f>
        <v>46167</v>
      </c>
      <c r="DV10" s="23">
        <f t="shared" ref="DV10" si="65">DU10+1</f>
        <v>46168</v>
      </c>
      <c r="DW10" s="23">
        <f t="shared" ref="DW10" si="66">DV10+1</f>
        <v>46169</v>
      </c>
      <c r="DX10" s="23">
        <f t="shared" ref="DX10" si="67">DW10+1</f>
        <v>46170</v>
      </c>
      <c r="DY10" s="23">
        <f t="shared" ref="DY10" si="68">DX10+1</f>
        <v>46171</v>
      </c>
      <c r="DZ10" s="23">
        <f t="shared" ref="DZ10" si="69">DY10+1</f>
        <v>46172</v>
      </c>
      <c r="EA10" s="24">
        <f t="shared" ref="EA10" si="70">DZ10+1</f>
        <v>46173</v>
      </c>
      <c r="EB10" s="22">
        <f t="shared" ref="EB10" si="71">EA10+1</f>
        <v>46174</v>
      </c>
      <c r="EC10" s="23">
        <f t="shared" ref="EC10" si="72">EB10+1</f>
        <v>46175</v>
      </c>
      <c r="ED10" s="23">
        <f t="shared" ref="ED10" si="73">EC10+1</f>
        <v>46176</v>
      </c>
      <c r="EE10" s="23">
        <f t="shared" ref="EE10" si="74">ED10+1</f>
        <v>46177</v>
      </c>
      <c r="EF10" s="23">
        <f t="shared" ref="EF10" si="75">EE10+1</f>
        <v>46178</v>
      </c>
      <c r="EG10" s="23">
        <f t="shared" ref="EG10" si="76">EF10+1</f>
        <v>46179</v>
      </c>
      <c r="EH10" s="24">
        <f t="shared" ref="EH10" si="77">EG10+1</f>
        <v>46180</v>
      </c>
      <c r="EI10" s="22">
        <f t="shared" ref="EI10" si="78">EH10+1</f>
        <v>46181</v>
      </c>
      <c r="EJ10" s="23">
        <f t="shared" ref="EJ10" si="79">EI10+1</f>
        <v>46182</v>
      </c>
      <c r="EK10" s="23">
        <f t="shared" ref="EK10" si="80">EJ10+1</f>
        <v>46183</v>
      </c>
      <c r="EL10" s="23">
        <f t="shared" ref="EL10" si="81">EK10+1</f>
        <v>46184</v>
      </c>
      <c r="EM10" s="23">
        <f t="shared" ref="EM10" si="82">EL10+1</f>
        <v>46185</v>
      </c>
      <c r="EN10" s="23">
        <f t="shared" ref="EN10" si="83">EM10+1</f>
        <v>46186</v>
      </c>
      <c r="EO10" s="24">
        <f t="shared" ref="EO10" si="84">EN10+1</f>
        <v>46187</v>
      </c>
      <c r="EP10" s="22">
        <f t="shared" ref="EP10" si="85">EO10+1</f>
        <v>46188</v>
      </c>
      <c r="EQ10" s="23">
        <f t="shared" ref="EQ10" si="86">EP10+1</f>
        <v>46189</v>
      </c>
      <c r="ER10" s="23">
        <f t="shared" ref="ER10" si="87">EQ10+1</f>
        <v>46190</v>
      </c>
      <c r="ES10" s="23">
        <f t="shared" ref="ES10" si="88">ER10+1</f>
        <v>46191</v>
      </c>
      <c r="ET10" s="23">
        <f t="shared" ref="ET10" si="89">ES10+1</f>
        <v>46192</v>
      </c>
      <c r="EU10" s="23">
        <f t="shared" ref="EU10" si="90">ET10+1</f>
        <v>46193</v>
      </c>
      <c r="EV10" s="24">
        <f t="shared" ref="EV10" si="91">EU10+1</f>
        <v>46194</v>
      </c>
      <c r="EW10" s="22">
        <f t="shared" ref="EW10" si="92">EV10+1</f>
        <v>46195</v>
      </c>
      <c r="EX10" s="23">
        <f t="shared" ref="EX10" si="93">EW10+1</f>
        <v>46196</v>
      </c>
      <c r="EY10" s="23">
        <f t="shared" ref="EY10" si="94">EX10+1</f>
        <v>46197</v>
      </c>
      <c r="EZ10" s="23">
        <f t="shared" ref="EZ10" si="95">EY10+1</f>
        <v>46198</v>
      </c>
      <c r="FA10" s="23">
        <f t="shared" ref="FA10" si="96">EZ10+1</f>
        <v>46199</v>
      </c>
      <c r="FB10" s="23">
        <f t="shared" ref="FB10" si="97">FA10+1</f>
        <v>46200</v>
      </c>
      <c r="FC10" s="24">
        <f t="shared" ref="FC10" si="98">FB10+1</f>
        <v>46201</v>
      </c>
      <c r="FD10" s="22">
        <f t="shared" ref="FD10" si="99">FC10+1</f>
        <v>46202</v>
      </c>
      <c r="FE10" s="23">
        <f t="shared" ref="FE10" si="100">FD10+1</f>
        <v>46203</v>
      </c>
      <c r="FF10" s="23">
        <f t="shared" ref="FF10" si="101">FE10+1</f>
        <v>46204</v>
      </c>
      <c r="FG10" s="23">
        <f t="shared" ref="FG10" si="102">FF10+1</f>
        <v>46205</v>
      </c>
      <c r="FH10" s="23">
        <f t="shared" ref="FH10" si="103">FG10+1</f>
        <v>46206</v>
      </c>
      <c r="FI10" s="23">
        <f t="shared" ref="FI10" si="104">FH10+1</f>
        <v>46207</v>
      </c>
      <c r="FJ10" s="24">
        <f t="shared" ref="FJ10" si="105">FI10+1</f>
        <v>46208</v>
      </c>
    </row>
    <row r="11" spans="1:166" ht="39.9" customHeight="1" thickBot="1" x14ac:dyDescent="0.35">
      <c r="A11" s="25" t="s">
        <v>74</v>
      </c>
      <c r="B11" s="25" t="s">
        <v>75</v>
      </c>
      <c r="C11" s="26" t="s">
        <v>76</v>
      </c>
      <c r="D11" s="27" t="s">
        <v>77</v>
      </c>
      <c r="E11" s="27" t="s">
        <v>78</v>
      </c>
      <c r="F11" s="27" t="s">
        <v>79</v>
      </c>
      <c r="G11" s="25" t="s">
        <v>80</v>
      </c>
      <c r="H11" s="25" t="s">
        <v>81</v>
      </c>
      <c r="I11" s="28" t="s">
        <v>82</v>
      </c>
      <c r="J11" s="27" t="s">
        <v>83</v>
      </c>
      <c r="K11" s="27" t="s">
        <v>84</v>
      </c>
      <c r="L11" s="27"/>
      <c r="M11" s="29" t="str">
        <f>CHOOSE(WEEKDAY(M10,1),"D","L","M","W","J","V","S")</f>
        <v>L</v>
      </c>
      <c r="N11" s="30" t="str">
        <f t="shared" ref="N11:S11" si="106">CHOOSE(WEEKDAY(N10,1),"D","L","M","W","J","V","S")</f>
        <v>M</v>
      </c>
      <c r="O11" s="30" t="str">
        <f t="shared" si="106"/>
        <v>W</v>
      </c>
      <c r="P11" s="30" t="str">
        <f t="shared" si="106"/>
        <v>J</v>
      </c>
      <c r="Q11" s="30" t="str">
        <f t="shared" si="106"/>
        <v>V</v>
      </c>
      <c r="R11" s="30" t="str">
        <f t="shared" si="106"/>
        <v>S</v>
      </c>
      <c r="S11" s="31" t="str">
        <f t="shared" si="106"/>
        <v>D</v>
      </c>
      <c r="T11" s="29" t="str">
        <f>CHOOSE(WEEKDAY(T10,1),"D","L","M","W","J","V","S")</f>
        <v>L</v>
      </c>
      <c r="U11" s="30" t="str">
        <f t="shared" ref="U11:Z11" si="107">CHOOSE(WEEKDAY(U10,1),"D","L","M","W","J","V","S")</f>
        <v>M</v>
      </c>
      <c r="V11" s="30" t="str">
        <f t="shared" si="107"/>
        <v>W</v>
      </c>
      <c r="W11" s="30" t="str">
        <f t="shared" si="107"/>
        <v>J</v>
      </c>
      <c r="X11" s="30" t="str">
        <f t="shared" si="107"/>
        <v>V</v>
      </c>
      <c r="Y11" s="30" t="str">
        <f t="shared" si="107"/>
        <v>S</v>
      </c>
      <c r="Z11" s="31" t="str">
        <f t="shared" si="107"/>
        <v>D</v>
      </c>
      <c r="AA11" s="29" t="str">
        <f>CHOOSE(WEEKDAY(AA10,1),"D","L","M","W","J","V","S")</f>
        <v>L</v>
      </c>
      <c r="AB11" s="30" t="str">
        <f t="shared" ref="AB11:AG11" si="108">CHOOSE(WEEKDAY(AB10,1),"D","L","M","W","J","V","S")</f>
        <v>M</v>
      </c>
      <c r="AC11" s="30" t="str">
        <f t="shared" si="108"/>
        <v>W</v>
      </c>
      <c r="AD11" s="30" t="str">
        <f t="shared" si="108"/>
        <v>J</v>
      </c>
      <c r="AE11" s="30" t="str">
        <f t="shared" si="108"/>
        <v>V</v>
      </c>
      <c r="AF11" s="30" t="str">
        <f t="shared" si="108"/>
        <v>S</v>
      </c>
      <c r="AG11" s="31" t="str">
        <f t="shared" si="108"/>
        <v>D</v>
      </c>
      <c r="AH11" s="29" t="str">
        <f>CHOOSE(WEEKDAY(AH10,1),"D","L","M","W","J","V","S")</f>
        <v>L</v>
      </c>
      <c r="AI11" s="30" t="str">
        <f t="shared" ref="AI11:AN11" si="109">CHOOSE(WEEKDAY(AI10,1),"D","L","M","W","J","V","S")</f>
        <v>M</v>
      </c>
      <c r="AJ11" s="30" t="str">
        <f t="shared" si="109"/>
        <v>W</v>
      </c>
      <c r="AK11" s="30" t="str">
        <f t="shared" si="109"/>
        <v>J</v>
      </c>
      <c r="AL11" s="30" t="str">
        <f t="shared" si="109"/>
        <v>V</v>
      </c>
      <c r="AM11" s="30" t="str">
        <f t="shared" si="109"/>
        <v>S</v>
      </c>
      <c r="AN11" s="31" t="str">
        <f t="shared" si="109"/>
        <v>D</v>
      </c>
      <c r="AO11" s="29" t="str">
        <f>CHOOSE(WEEKDAY(AO10,1),"D","L","M","W","J","V","S")</f>
        <v>L</v>
      </c>
      <c r="AP11" s="30" t="str">
        <f t="shared" ref="AP11:AU11" si="110">CHOOSE(WEEKDAY(AP10,1),"D","L","M","W","J","V","S")</f>
        <v>M</v>
      </c>
      <c r="AQ11" s="30" t="str">
        <f t="shared" si="110"/>
        <v>W</v>
      </c>
      <c r="AR11" s="30" t="str">
        <f t="shared" si="110"/>
        <v>J</v>
      </c>
      <c r="AS11" s="30" t="str">
        <f t="shared" si="110"/>
        <v>V</v>
      </c>
      <c r="AT11" s="30" t="str">
        <f t="shared" si="110"/>
        <v>S</v>
      </c>
      <c r="AU11" s="31" t="str">
        <f t="shared" si="110"/>
        <v>D</v>
      </c>
      <c r="AV11" s="29" t="str">
        <f>CHOOSE(WEEKDAY(AV10,1),"D","L","M","W","J","V","S")</f>
        <v>L</v>
      </c>
      <c r="AW11" s="30" t="str">
        <f t="shared" ref="AW11:BB11" si="111">CHOOSE(WEEKDAY(AW10,1),"D","L","M","W","J","V","S")</f>
        <v>M</v>
      </c>
      <c r="AX11" s="30" t="str">
        <f t="shared" si="111"/>
        <v>W</v>
      </c>
      <c r="AY11" s="30" t="str">
        <f t="shared" si="111"/>
        <v>J</v>
      </c>
      <c r="AZ11" s="30" t="str">
        <f t="shared" si="111"/>
        <v>V</v>
      </c>
      <c r="BA11" s="30" t="str">
        <f t="shared" si="111"/>
        <v>S</v>
      </c>
      <c r="BB11" s="31" t="str">
        <f t="shared" si="111"/>
        <v>D</v>
      </c>
      <c r="BC11" s="29" t="str">
        <f>CHOOSE(WEEKDAY(BC10,1),"D","L","M","W","J","V","S")</f>
        <v>L</v>
      </c>
      <c r="BD11" s="30" t="str">
        <f t="shared" ref="BD11:BI11" si="112">CHOOSE(WEEKDAY(BD10,1),"D","L","M","W","J","V","S")</f>
        <v>M</v>
      </c>
      <c r="BE11" s="30" t="str">
        <f t="shared" si="112"/>
        <v>W</v>
      </c>
      <c r="BF11" s="30" t="str">
        <f t="shared" si="112"/>
        <v>J</v>
      </c>
      <c r="BG11" s="30" t="str">
        <f t="shared" si="112"/>
        <v>V</v>
      </c>
      <c r="BH11" s="30" t="str">
        <f t="shared" si="112"/>
        <v>S</v>
      </c>
      <c r="BI11" s="31" t="str">
        <f t="shared" si="112"/>
        <v>D</v>
      </c>
      <c r="BJ11" s="29" t="str">
        <f>CHOOSE(WEEKDAY(BJ10,1),"D","L","M","W","J","V","S")</f>
        <v>L</v>
      </c>
      <c r="BK11" s="30" t="str">
        <f t="shared" ref="BK11:BP11" si="113">CHOOSE(WEEKDAY(BK10,1),"D","L","M","W","J","V","S")</f>
        <v>M</v>
      </c>
      <c r="BL11" s="30" t="str">
        <f t="shared" si="113"/>
        <v>W</v>
      </c>
      <c r="BM11" s="30" t="str">
        <f t="shared" si="113"/>
        <v>J</v>
      </c>
      <c r="BN11" s="30" t="str">
        <f t="shared" si="113"/>
        <v>V</v>
      </c>
      <c r="BO11" s="30" t="str">
        <f t="shared" si="113"/>
        <v>S</v>
      </c>
      <c r="BP11" s="31" t="str">
        <f t="shared" si="113"/>
        <v>D</v>
      </c>
      <c r="BQ11" s="29" t="str">
        <f>CHOOSE(WEEKDAY(BQ10,1),"D","L","M","W","J","V","S")</f>
        <v>L</v>
      </c>
      <c r="BR11" s="30" t="str">
        <f t="shared" ref="BR11:BW11" si="114">CHOOSE(WEEKDAY(BR10,1),"D","L","M","W","J","V","S")</f>
        <v>M</v>
      </c>
      <c r="BS11" s="30" t="str">
        <f t="shared" si="114"/>
        <v>W</v>
      </c>
      <c r="BT11" s="30" t="str">
        <f t="shared" si="114"/>
        <v>J</v>
      </c>
      <c r="BU11" s="30" t="str">
        <f t="shared" si="114"/>
        <v>V</v>
      </c>
      <c r="BV11" s="30" t="str">
        <f t="shared" si="114"/>
        <v>S</v>
      </c>
      <c r="BW11" s="31" t="str">
        <f t="shared" si="114"/>
        <v>D</v>
      </c>
      <c r="BX11" s="29" t="str">
        <f>CHOOSE(WEEKDAY(BX10,1),"D","L","M","W","J","V","S")</f>
        <v>L</v>
      </c>
      <c r="BY11" s="30" t="str">
        <f t="shared" ref="BY11:CD11" si="115">CHOOSE(WEEKDAY(BY10,1),"D","L","M","W","J","V","S")</f>
        <v>M</v>
      </c>
      <c r="BZ11" s="30" t="str">
        <f t="shared" si="115"/>
        <v>W</v>
      </c>
      <c r="CA11" s="30" t="str">
        <f t="shared" si="115"/>
        <v>J</v>
      </c>
      <c r="CB11" s="30" t="str">
        <f t="shared" si="115"/>
        <v>V</v>
      </c>
      <c r="CC11" s="30" t="str">
        <f t="shared" si="115"/>
        <v>S</v>
      </c>
      <c r="CD11" s="31" t="str">
        <f t="shared" si="115"/>
        <v>D</v>
      </c>
      <c r="CE11" s="29" t="str">
        <f>CHOOSE(WEEKDAY(CE10,1),"D","L","M","W","J","V","S")</f>
        <v>L</v>
      </c>
      <c r="CF11" s="30" t="str">
        <f t="shared" ref="CF11:CK11" si="116">CHOOSE(WEEKDAY(CF10,1),"D","L","M","W","J","V","S")</f>
        <v>M</v>
      </c>
      <c r="CG11" s="30" t="str">
        <f t="shared" si="116"/>
        <v>W</v>
      </c>
      <c r="CH11" s="30" t="str">
        <f t="shared" si="116"/>
        <v>J</v>
      </c>
      <c r="CI11" s="30" t="str">
        <f t="shared" si="116"/>
        <v>V</v>
      </c>
      <c r="CJ11" s="30" t="str">
        <f t="shared" si="116"/>
        <v>S</v>
      </c>
      <c r="CK11" s="31" t="str">
        <f t="shared" si="116"/>
        <v>D</v>
      </c>
      <c r="CL11" s="29" t="str">
        <f>CHOOSE(WEEKDAY(CL10,1),"D","L","M","W","J","V","S")</f>
        <v>L</v>
      </c>
      <c r="CM11" s="30" t="str">
        <f t="shared" ref="CM11:CR11" si="117">CHOOSE(WEEKDAY(CM10,1),"D","L","M","W","J","V","S")</f>
        <v>M</v>
      </c>
      <c r="CN11" s="30" t="str">
        <f t="shared" si="117"/>
        <v>W</v>
      </c>
      <c r="CO11" s="30" t="str">
        <f t="shared" si="117"/>
        <v>J</v>
      </c>
      <c r="CP11" s="30" t="str">
        <f t="shared" si="117"/>
        <v>V</v>
      </c>
      <c r="CQ11" s="30" t="str">
        <f t="shared" si="117"/>
        <v>S</v>
      </c>
      <c r="CR11" s="31" t="str">
        <f t="shared" si="117"/>
        <v>D</v>
      </c>
      <c r="CS11" s="29" t="str">
        <f>CHOOSE(WEEKDAY(CS10,1),"D","L","M","W","J","V","S")</f>
        <v>L</v>
      </c>
      <c r="CT11" s="30" t="str">
        <f t="shared" ref="CT11:CY11" si="118">CHOOSE(WEEKDAY(CT10,1),"D","L","M","W","J","V","S")</f>
        <v>M</v>
      </c>
      <c r="CU11" s="30" t="str">
        <f t="shared" si="118"/>
        <v>W</v>
      </c>
      <c r="CV11" s="30" t="str">
        <f t="shared" si="118"/>
        <v>J</v>
      </c>
      <c r="CW11" s="30" t="str">
        <f t="shared" si="118"/>
        <v>V</v>
      </c>
      <c r="CX11" s="30" t="str">
        <f t="shared" si="118"/>
        <v>S</v>
      </c>
      <c r="CY11" s="31" t="str">
        <f t="shared" si="118"/>
        <v>D</v>
      </c>
      <c r="CZ11" s="29" t="str">
        <f>CHOOSE(WEEKDAY(CZ10,1),"D","L","M","W","J","V","S")</f>
        <v>L</v>
      </c>
      <c r="DA11" s="30" t="str">
        <f t="shared" ref="DA11:DF11" si="119">CHOOSE(WEEKDAY(DA10,1),"D","L","M","W","J","V","S")</f>
        <v>M</v>
      </c>
      <c r="DB11" s="30" t="str">
        <f t="shared" si="119"/>
        <v>W</v>
      </c>
      <c r="DC11" s="30" t="str">
        <f t="shared" si="119"/>
        <v>J</v>
      </c>
      <c r="DD11" s="30" t="str">
        <f t="shared" si="119"/>
        <v>V</v>
      </c>
      <c r="DE11" s="30" t="str">
        <f t="shared" si="119"/>
        <v>S</v>
      </c>
      <c r="DF11" s="31" t="str">
        <f t="shared" si="119"/>
        <v>D</v>
      </c>
      <c r="DG11" s="29" t="str">
        <f>CHOOSE(WEEKDAY(DG10,1),"D","L","M","W","J","V","S")</f>
        <v>L</v>
      </c>
      <c r="DH11" s="30" t="str">
        <f t="shared" ref="DH11:DM11" si="120">CHOOSE(WEEKDAY(DH10,1),"D","L","M","W","J","V","S")</f>
        <v>M</v>
      </c>
      <c r="DI11" s="30" t="str">
        <f t="shared" si="120"/>
        <v>W</v>
      </c>
      <c r="DJ11" s="30" t="str">
        <f t="shared" si="120"/>
        <v>J</v>
      </c>
      <c r="DK11" s="30" t="str">
        <f t="shared" si="120"/>
        <v>V</v>
      </c>
      <c r="DL11" s="30" t="str">
        <f t="shared" si="120"/>
        <v>S</v>
      </c>
      <c r="DM11" s="31" t="str">
        <f t="shared" si="120"/>
        <v>D</v>
      </c>
      <c r="DN11" s="29" t="str">
        <f>CHOOSE(WEEKDAY(DN10,1),"D","L","M","W","J","V","S")</f>
        <v>L</v>
      </c>
      <c r="DO11" s="30" t="str">
        <f t="shared" ref="DO11:DT11" si="121">CHOOSE(WEEKDAY(DO10,1),"D","L","M","W","J","V","S")</f>
        <v>M</v>
      </c>
      <c r="DP11" s="30" t="str">
        <f t="shared" si="121"/>
        <v>W</v>
      </c>
      <c r="DQ11" s="30" t="str">
        <f t="shared" si="121"/>
        <v>J</v>
      </c>
      <c r="DR11" s="30" t="str">
        <f t="shared" si="121"/>
        <v>V</v>
      </c>
      <c r="DS11" s="30" t="str">
        <f t="shared" si="121"/>
        <v>S</v>
      </c>
      <c r="DT11" s="31" t="str">
        <f t="shared" si="121"/>
        <v>D</v>
      </c>
      <c r="DU11" s="29" t="str">
        <f>CHOOSE(WEEKDAY(DU10,1),"D","L","M","W","J","V","S")</f>
        <v>L</v>
      </c>
      <c r="DV11" s="30" t="str">
        <f t="shared" ref="DV11:EA11" si="122">CHOOSE(WEEKDAY(DV10,1),"D","L","M","W","J","V","S")</f>
        <v>M</v>
      </c>
      <c r="DW11" s="30" t="str">
        <f t="shared" si="122"/>
        <v>W</v>
      </c>
      <c r="DX11" s="30" t="str">
        <f t="shared" si="122"/>
        <v>J</v>
      </c>
      <c r="DY11" s="30" t="str">
        <f t="shared" si="122"/>
        <v>V</v>
      </c>
      <c r="DZ11" s="30" t="str">
        <f t="shared" si="122"/>
        <v>S</v>
      </c>
      <c r="EA11" s="31" t="str">
        <f t="shared" si="122"/>
        <v>D</v>
      </c>
      <c r="EB11" s="29" t="str">
        <f>CHOOSE(WEEKDAY(EB10,1),"D","L","M","W","J","V","S")</f>
        <v>L</v>
      </c>
      <c r="EC11" s="30" t="str">
        <f t="shared" ref="EC11:EH11" si="123">CHOOSE(WEEKDAY(EC10,1),"D","L","M","W","J","V","S")</f>
        <v>M</v>
      </c>
      <c r="ED11" s="30" t="str">
        <f t="shared" si="123"/>
        <v>W</v>
      </c>
      <c r="EE11" s="30" t="str">
        <f t="shared" si="123"/>
        <v>J</v>
      </c>
      <c r="EF11" s="30" t="str">
        <f t="shared" si="123"/>
        <v>V</v>
      </c>
      <c r="EG11" s="30" t="str">
        <f t="shared" si="123"/>
        <v>S</v>
      </c>
      <c r="EH11" s="31" t="str">
        <f t="shared" si="123"/>
        <v>D</v>
      </c>
      <c r="EI11" s="29" t="str">
        <f>CHOOSE(WEEKDAY(EI10,1),"D","L","M","W","J","V","S")</f>
        <v>L</v>
      </c>
      <c r="EJ11" s="30" t="str">
        <f t="shared" ref="EJ11:EO11" si="124">CHOOSE(WEEKDAY(EJ10,1),"D","L","M","W","J","V","S")</f>
        <v>M</v>
      </c>
      <c r="EK11" s="30" t="str">
        <f t="shared" si="124"/>
        <v>W</v>
      </c>
      <c r="EL11" s="30" t="str">
        <f t="shared" si="124"/>
        <v>J</v>
      </c>
      <c r="EM11" s="30" t="str">
        <f t="shared" si="124"/>
        <v>V</v>
      </c>
      <c r="EN11" s="30" t="str">
        <f t="shared" si="124"/>
        <v>S</v>
      </c>
      <c r="EO11" s="31" t="str">
        <f t="shared" si="124"/>
        <v>D</v>
      </c>
      <c r="EP11" s="29" t="str">
        <f>CHOOSE(WEEKDAY(EP10,1),"D","L","M","W","J","V","S")</f>
        <v>L</v>
      </c>
      <c r="EQ11" s="30" t="str">
        <f t="shared" ref="EQ11:EV11" si="125">CHOOSE(WEEKDAY(EQ10,1),"D","L","M","W","J","V","S")</f>
        <v>M</v>
      </c>
      <c r="ER11" s="30" t="str">
        <f t="shared" si="125"/>
        <v>W</v>
      </c>
      <c r="ES11" s="30" t="str">
        <f t="shared" si="125"/>
        <v>J</v>
      </c>
      <c r="ET11" s="30" t="str">
        <f t="shared" si="125"/>
        <v>V</v>
      </c>
      <c r="EU11" s="30" t="str">
        <f t="shared" si="125"/>
        <v>S</v>
      </c>
      <c r="EV11" s="31" t="str">
        <f t="shared" si="125"/>
        <v>D</v>
      </c>
      <c r="EW11" s="29" t="str">
        <f>CHOOSE(WEEKDAY(EW10,1),"D","L","M","W","J","V","S")</f>
        <v>L</v>
      </c>
      <c r="EX11" s="30" t="str">
        <f t="shared" ref="EX11:FC11" si="126">CHOOSE(WEEKDAY(EX10,1),"D","L","M","W","J","V","S")</f>
        <v>M</v>
      </c>
      <c r="EY11" s="30" t="str">
        <f t="shared" si="126"/>
        <v>W</v>
      </c>
      <c r="EZ11" s="30" t="str">
        <f t="shared" si="126"/>
        <v>J</v>
      </c>
      <c r="FA11" s="30" t="str">
        <f t="shared" si="126"/>
        <v>V</v>
      </c>
      <c r="FB11" s="30" t="str">
        <f t="shared" si="126"/>
        <v>S</v>
      </c>
      <c r="FC11" s="31" t="str">
        <f t="shared" si="126"/>
        <v>D</v>
      </c>
      <c r="FD11" s="29" t="str">
        <f>CHOOSE(WEEKDAY(FD10,1),"D","L","M","W","J","V","S")</f>
        <v>L</v>
      </c>
      <c r="FE11" s="30" t="str">
        <f t="shared" ref="FE11:FJ11" si="127">CHOOSE(WEEKDAY(FE10,1),"D","L","M","W","J","V","S")</f>
        <v>M</v>
      </c>
      <c r="FF11" s="30" t="str">
        <f t="shared" si="127"/>
        <v>W</v>
      </c>
      <c r="FG11" s="30" t="str">
        <f t="shared" si="127"/>
        <v>J</v>
      </c>
      <c r="FH11" s="30" t="str">
        <f t="shared" si="127"/>
        <v>V</v>
      </c>
      <c r="FI11" s="30" t="str">
        <f t="shared" si="127"/>
        <v>S</v>
      </c>
      <c r="FJ11" s="31" t="str">
        <f t="shared" si="127"/>
        <v>D</v>
      </c>
    </row>
    <row r="12" spans="1:166" s="45" customFormat="1" ht="30" customHeight="1" x14ac:dyDescent="0.3">
      <c r="A12" s="32" t="str">
        <f t="shared" ref="A12:A23" si="128">IF(ISERROR(VALUE(SUBSTITUTE(prevWBS,".",""))),"0.1",IF(ISERROR(FIND("`",SUBSTITUTE(prevWBS,".","`",1))),prevWBS&amp;".1",LEFT(prevWBS,FIND("`",SUBSTITUTE(prevWBS,".","`",1)))&amp;IF(ISERROR(FIND("`",SUBSTITUTE(prevWBS,".","`",2))),VALUE(RIGHT(prevWBS,LEN(prevWBS)-FIND("`",SUBSTITUTE(prevWBS,".","`",1))))+1,VALUE(MID(prevWBS,FIND("`",SUBSTITUTE(prevWBS,".","`",1))+1,(FIND("`",SUBSTITUTE(prevWBS,".","`",2))-FIND("`",SUBSTITUTE(prevWBS,".","`",1))-1)))+1)))</f>
        <v>0.1</v>
      </c>
      <c r="B12" s="33" t="s">
        <v>85</v>
      </c>
      <c r="C12" s="34">
        <v>220501046</v>
      </c>
      <c r="D12" s="35" t="s">
        <v>86</v>
      </c>
      <c r="E12" s="36" t="s">
        <v>109</v>
      </c>
      <c r="F12" s="37"/>
      <c r="G12" s="38">
        <v>46055</v>
      </c>
      <c r="H12" s="39">
        <v>46639</v>
      </c>
      <c r="I12" s="40">
        <f>IF(OR(G12="",H12=""),"",NETWORKDAYS(G12,H12))</f>
        <v>419</v>
      </c>
      <c r="J12" s="41">
        <f ca="1">IF(OR(G12="",H12="",I12=""),"",IF(TODAY()&lt;G12,0,MIN(1,NETWORKDAYS(G12,MIN(TODAY(),H12))/I12)))</f>
        <v>0.34367541766109783</v>
      </c>
      <c r="K12" s="42">
        <f t="shared" ref="K12:K23" si="129">IF(OR(H12=0,G12=0)," - ",NETWORKDAYS(G12,H12))</f>
        <v>419</v>
      </c>
      <c r="L12" s="43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44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  <c r="DK12" s="44"/>
      <c r="DL12" s="44"/>
      <c r="DM12" s="44"/>
      <c r="DN12" s="44"/>
      <c r="DO12" s="44"/>
      <c r="DP12" s="44"/>
      <c r="DQ12" s="44"/>
      <c r="DR12" s="44"/>
      <c r="DS12" s="44"/>
      <c r="DT12" s="44"/>
      <c r="DU12" s="44"/>
      <c r="DV12" s="44"/>
      <c r="DW12" s="44"/>
      <c r="DX12" s="44"/>
      <c r="DY12" s="44"/>
      <c r="DZ12" s="44"/>
      <c r="EA12" s="44"/>
      <c r="EB12" s="44"/>
      <c r="EC12" s="44"/>
      <c r="ED12" s="44"/>
      <c r="EE12" s="44"/>
      <c r="EF12" s="44"/>
      <c r="EG12" s="44"/>
      <c r="EH12" s="44"/>
      <c r="EI12" s="44"/>
      <c r="EJ12" s="44"/>
      <c r="EK12" s="44"/>
      <c r="EL12" s="44"/>
      <c r="EM12" s="44"/>
      <c r="EN12" s="44"/>
      <c r="EO12" s="44"/>
      <c r="EP12" s="44"/>
      <c r="EQ12" s="44"/>
      <c r="ER12" s="44"/>
      <c r="ES12" s="44"/>
      <c r="ET12" s="44"/>
      <c r="EU12" s="44"/>
      <c r="EV12" s="44"/>
      <c r="EW12" s="44"/>
      <c r="EX12" s="44"/>
      <c r="EY12" s="44"/>
      <c r="EZ12" s="44"/>
      <c r="FA12" s="44"/>
      <c r="FB12" s="44"/>
      <c r="FC12" s="44"/>
      <c r="FD12" s="44"/>
      <c r="FE12" s="44"/>
      <c r="FF12" s="44"/>
      <c r="FG12" s="44"/>
      <c r="FH12" s="44"/>
      <c r="FI12" s="44"/>
      <c r="FJ12" s="44"/>
    </row>
    <row r="13" spans="1:166" s="45" customFormat="1" ht="30" customHeight="1" x14ac:dyDescent="0.3">
      <c r="A13" s="32" t="str">
        <f t="shared" si="128"/>
        <v>0.2</v>
      </c>
      <c r="B13" s="46" t="s">
        <v>87</v>
      </c>
      <c r="C13" s="34">
        <v>220501092</v>
      </c>
      <c r="D13" s="35" t="s">
        <v>88</v>
      </c>
      <c r="E13" s="47" t="s">
        <v>113</v>
      </c>
      <c r="F13" s="40"/>
      <c r="G13" s="48">
        <v>46118</v>
      </c>
      <c r="H13" s="39">
        <v>46124</v>
      </c>
      <c r="I13" s="40">
        <f t="shared" ref="I13:I23" si="130">IF(OR(G13="",H13=""),"",NETWORKDAYS(G13,H13))</f>
        <v>5</v>
      </c>
      <c r="J13" s="41">
        <f t="shared" ref="J13:J23" ca="1" si="131">IF(OR(G13="",H13="",I13=""),"",IF(TODAY()&lt;G13,0,MIN(1,NETWORKDAYS(G13,MIN(TODAY(),H13))/I13)))</f>
        <v>1</v>
      </c>
      <c r="K13" s="42">
        <f t="shared" si="129"/>
        <v>5</v>
      </c>
      <c r="L13" s="49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50"/>
      <c r="BQ13" s="50"/>
      <c r="BR13" s="50"/>
      <c r="BS13" s="50"/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0"/>
      <c r="CV13" s="50"/>
      <c r="CW13" s="50"/>
      <c r="CX13" s="50"/>
      <c r="CY13" s="50"/>
      <c r="CZ13" s="50"/>
      <c r="DA13" s="50"/>
      <c r="DB13" s="50"/>
      <c r="DC13" s="50"/>
      <c r="DD13" s="50"/>
      <c r="DE13" s="50"/>
      <c r="DF13" s="50"/>
      <c r="DG13" s="50"/>
      <c r="DH13" s="50"/>
      <c r="DI13" s="50"/>
      <c r="DJ13" s="50"/>
      <c r="DK13" s="50"/>
      <c r="DL13" s="50"/>
      <c r="DM13" s="50"/>
      <c r="DN13" s="50"/>
      <c r="DO13" s="50"/>
      <c r="DP13" s="50"/>
      <c r="DQ13" s="50"/>
      <c r="DR13" s="50"/>
      <c r="DS13" s="50"/>
      <c r="DT13" s="50"/>
      <c r="DU13" s="50"/>
      <c r="DV13" s="50"/>
      <c r="DW13" s="50"/>
      <c r="DX13" s="50"/>
      <c r="DY13" s="50"/>
      <c r="DZ13" s="50"/>
      <c r="EA13" s="50"/>
      <c r="EB13" s="50"/>
      <c r="EC13" s="50"/>
      <c r="ED13" s="50"/>
      <c r="EE13" s="50"/>
      <c r="EF13" s="50"/>
      <c r="EG13" s="50"/>
      <c r="EH13" s="50"/>
      <c r="EI13" s="50"/>
      <c r="EJ13" s="50"/>
      <c r="EK13" s="50"/>
      <c r="EL13" s="50"/>
      <c r="EM13" s="50"/>
      <c r="EN13" s="50"/>
      <c r="EO13" s="50"/>
      <c r="EP13" s="50"/>
      <c r="EQ13" s="50"/>
      <c r="ER13" s="50"/>
      <c r="ES13" s="50"/>
      <c r="ET13" s="50"/>
      <c r="EU13" s="50"/>
      <c r="EV13" s="50"/>
      <c r="EW13" s="50"/>
      <c r="EX13" s="50"/>
      <c r="EY13" s="50"/>
      <c r="EZ13" s="50"/>
      <c r="FA13" s="50"/>
      <c r="FB13" s="50"/>
      <c r="FC13" s="50"/>
      <c r="FD13" s="50"/>
      <c r="FE13" s="50"/>
      <c r="FF13" s="50"/>
      <c r="FG13" s="50"/>
      <c r="FH13" s="50"/>
      <c r="FI13" s="50"/>
      <c r="FJ13" s="50"/>
    </row>
    <row r="14" spans="1:166" s="45" customFormat="1" ht="30" customHeight="1" x14ac:dyDescent="0.3">
      <c r="A14" s="32" t="str">
        <f t="shared" si="128"/>
        <v>0.3</v>
      </c>
      <c r="B14" s="46" t="s">
        <v>89</v>
      </c>
      <c r="C14" s="34">
        <v>220501092</v>
      </c>
      <c r="D14" s="35" t="s">
        <v>90</v>
      </c>
      <c r="E14" s="47" t="s">
        <v>110</v>
      </c>
      <c r="F14" s="40"/>
      <c r="G14" s="48">
        <v>46093</v>
      </c>
      <c r="H14" s="39">
        <v>46117</v>
      </c>
      <c r="I14" s="40">
        <f t="shared" si="130"/>
        <v>17</v>
      </c>
      <c r="J14" s="41">
        <f t="shared" ca="1" si="131"/>
        <v>1</v>
      </c>
      <c r="K14" s="42">
        <f t="shared" si="129"/>
        <v>17</v>
      </c>
      <c r="L14" s="49"/>
      <c r="M14" s="50"/>
      <c r="N14" s="50"/>
      <c r="O14" s="51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50"/>
      <c r="BQ14" s="50"/>
      <c r="BR14" s="50"/>
      <c r="BS14" s="50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0"/>
      <c r="CV14" s="50"/>
      <c r="CW14" s="50"/>
      <c r="CX14" s="50"/>
      <c r="CY14" s="50"/>
      <c r="CZ14" s="50"/>
      <c r="DA14" s="50"/>
      <c r="DB14" s="50"/>
      <c r="DC14" s="50"/>
      <c r="DD14" s="50"/>
      <c r="DE14" s="50"/>
      <c r="DF14" s="50"/>
      <c r="DG14" s="50"/>
      <c r="DH14" s="50"/>
      <c r="DI14" s="50"/>
      <c r="DJ14" s="50"/>
      <c r="DK14" s="50"/>
      <c r="DL14" s="50"/>
      <c r="DM14" s="50"/>
      <c r="DN14" s="50"/>
      <c r="DO14" s="50"/>
      <c r="DP14" s="50"/>
      <c r="DQ14" s="50"/>
      <c r="DR14" s="50"/>
      <c r="DS14" s="50"/>
      <c r="DT14" s="50"/>
      <c r="DU14" s="50"/>
      <c r="DV14" s="50"/>
      <c r="DW14" s="50"/>
      <c r="DX14" s="50"/>
      <c r="DY14" s="50"/>
      <c r="DZ14" s="50"/>
      <c r="EA14" s="50"/>
      <c r="EB14" s="50"/>
      <c r="EC14" s="50"/>
      <c r="ED14" s="50"/>
      <c r="EE14" s="50"/>
      <c r="EF14" s="50"/>
      <c r="EG14" s="50"/>
      <c r="EH14" s="50"/>
      <c r="EI14" s="50"/>
      <c r="EJ14" s="50"/>
      <c r="EK14" s="50"/>
      <c r="EL14" s="50"/>
      <c r="EM14" s="50"/>
      <c r="EN14" s="50"/>
      <c r="EO14" s="50"/>
      <c r="EP14" s="50"/>
      <c r="EQ14" s="50"/>
      <c r="ER14" s="50"/>
      <c r="ES14" s="50"/>
      <c r="ET14" s="50"/>
      <c r="EU14" s="50"/>
      <c r="EV14" s="50"/>
      <c r="EW14" s="50"/>
      <c r="EX14" s="50"/>
      <c r="EY14" s="50"/>
      <c r="EZ14" s="50"/>
      <c r="FA14" s="50"/>
      <c r="FB14" s="50"/>
      <c r="FC14" s="50"/>
      <c r="FD14" s="50"/>
      <c r="FE14" s="50"/>
      <c r="FF14" s="50"/>
      <c r="FG14" s="50"/>
      <c r="FH14" s="50"/>
      <c r="FI14" s="50"/>
      <c r="FJ14" s="50"/>
    </row>
    <row r="15" spans="1:166" s="45" customFormat="1" ht="30" customHeight="1" x14ac:dyDescent="0.3">
      <c r="A15" s="32" t="str">
        <f t="shared" si="128"/>
        <v>0.4</v>
      </c>
      <c r="B15" s="33" t="s">
        <v>91</v>
      </c>
      <c r="C15" s="34">
        <v>220501092</v>
      </c>
      <c r="D15" s="35" t="s">
        <v>92</v>
      </c>
      <c r="E15" s="36" t="s">
        <v>110</v>
      </c>
      <c r="F15" s="37"/>
      <c r="G15" s="38">
        <v>46112</v>
      </c>
      <c r="H15" s="39">
        <v>46642</v>
      </c>
      <c r="I15" s="40">
        <f t="shared" si="130"/>
        <v>379</v>
      </c>
      <c r="J15" s="41">
        <f t="shared" ca="1" si="131"/>
        <v>0.27176781002638523</v>
      </c>
      <c r="K15" s="42">
        <f t="shared" si="129"/>
        <v>379</v>
      </c>
      <c r="L15" s="43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50"/>
      <c r="BQ15" s="50"/>
      <c r="BR15" s="50"/>
      <c r="BS15" s="50"/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0"/>
      <c r="CV15" s="50"/>
      <c r="CW15" s="50"/>
      <c r="CX15" s="50"/>
      <c r="CY15" s="50"/>
      <c r="CZ15" s="50"/>
      <c r="DA15" s="50"/>
      <c r="DB15" s="50"/>
      <c r="DC15" s="50"/>
      <c r="DD15" s="50"/>
      <c r="DE15" s="50"/>
      <c r="DF15" s="50"/>
      <c r="DG15" s="50"/>
      <c r="DH15" s="50"/>
      <c r="DI15" s="50"/>
      <c r="DJ15" s="50"/>
      <c r="DK15" s="50"/>
      <c r="DL15" s="50"/>
      <c r="DM15" s="50"/>
      <c r="DN15" s="50"/>
      <c r="DO15" s="50"/>
      <c r="DP15" s="50"/>
      <c r="DQ15" s="50"/>
      <c r="DR15" s="50"/>
      <c r="DS15" s="50"/>
      <c r="DT15" s="50"/>
      <c r="DU15" s="50"/>
      <c r="DV15" s="50"/>
      <c r="DW15" s="50"/>
      <c r="DX15" s="50"/>
      <c r="DY15" s="50"/>
      <c r="DZ15" s="50"/>
      <c r="EA15" s="50"/>
      <c r="EB15" s="50"/>
      <c r="EC15" s="50"/>
      <c r="ED15" s="50"/>
      <c r="EE15" s="50"/>
      <c r="EF15" s="50"/>
      <c r="EG15" s="50"/>
      <c r="EH15" s="50"/>
      <c r="EI15" s="50"/>
      <c r="EJ15" s="50"/>
      <c r="EK15" s="50"/>
      <c r="EL15" s="50"/>
      <c r="EM15" s="50"/>
      <c r="EN15" s="50"/>
      <c r="EO15" s="50"/>
      <c r="EP15" s="50"/>
      <c r="EQ15" s="50"/>
      <c r="ER15" s="50"/>
      <c r="ES15" s="50"/>
      <c r="ET15" s="50"/>
      <c r="EU15" s="50"/>
      <c r="EV15" s="50"/>
      <c r="EW15" s="50"/>
      <c r="EX15" s="50"/>
      <c r="EY15" s="50"/>
      <c r="EZ15" s="50"/>
      <c r="FA15" s="50"/>
      <c r="FB15" s="50"/>
      <c r="FC15" s="50"/>
      <c r="FD15" s="50"/>
      <c r="FE15" s="50"/>
      <c r="FF15" s="50"/>
      <c r="FG15" s="50"/>
      <c r="FH15" s="50"/>
      <c r="FI15" s="50"/>
      <c r="FJ15" s="50"/>
    </row>
    <row r="16" spans="1:166" s="45" customFormat="1" ht="30" customHeight="1" x14ac:dyDescent="0.3">
      <c r="A16" s="32" t="str">
        <f t="shared" si="128"/>
        <v>0.5</v>
      </c>
      <c r="B16" s="46" t="s">
        <v>93</v>
      </c>
      <c r="C16" s="34">
        <v>220501092</v>
      </c>
      <c r="D16" s="35" t="s">
        <v>94</v>
      </c>
      <c r="E16" s="47" t="s">
        <v>110</v>
      </c>
      <c r="F16" s="40"/>
      <c r="G16" s="48">
        <v>46127</v>
      </c>
      <c r="H16" s="39">
        <v>46643</v>
      </c>
      <c r="I16" s="40">
        <f t="shared" si="130"/>
        <v>369</v>
      </c>
      <c r="J16" s="41">
        <f t="shared" ca="1" si="131"/>
        <v>0.24932249322493225</v>
      </c>
      <c r="K16" s="42">
        <f t="shared" si="129"/>
        <v>369</v>
      </c>
      <c r="L16" s="49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50"/>
      <c r="BQ16" s="50"/>
      <c r="BR16" s="50"/>
      <c r="BS16" s="50"/>
      <c r="BT16" s="50"/>
      <c r="BU16" s="50"/>
      <c r="BV16" s="50"/>
      <c r="BW16" s="50"/>
      <c r="BX16" s="50"/>
      <c r="BY16" s="50"/>
      <c r="BZ16" s="50"/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  <c r="CQ16" s="50"/>
      <c r="CR16" s="50"/>
      <c r="CS16" s="50"/>
      <c r="CT16" s="50"/>
      <c r="CU16" s="50"/>
      <c r="CV16" s="50"/>
      <c r="CW16" s="50"/>
      <c r="CX16" s="50"/>
      <c r="CY16" s="50"/>
      <c r="CZ16" s="50"/>
      <c r="DA16" s="50"/>
      <c r="DB16" s="50"/>
      <c r="DC16" s="50"/>
      <c r="DD16" s="50"/>
      <c r="DE16" s="50"/>
      <c r="DF16" s="50"/>
      <c r="DG16" s="50"/>
      <c r="DH16" s="50"/>
      <c r="DI16" s="50"/>
      <c r="DJ16" s="50"/>
      <c r="DK16" s="50"/>
      <c r="DL16" s="50"/>
      <c r="DM16" s="50"/>
      <c r="DN16" s="50"/>
      <c r="DO16" s="50"/>
      <c r="DP16" s="50"/>
      <c r="DQ16" s="50"/>
      <c r="DR16" s="50"/>
      <c r="DS16" s="50"/>
      <c r="DT16" s="50"/>
      <c r="DU16" s="50"/>
      <c r="DV16" s="50"/>
      <c r="DW16" s="50"/>
      <c r="DX16" s="50"/>
      <c r="DY16" s="50"/>
      <c r="DZ16" s="50"/>
      <c r="EA16" s="50"/>
      <c r="EB16" s="50"/>
      <c r="EC16" s="50"/>
      <c r="ED16" s="50"/>
      <c r="EE16" s="50"/>
      <c r="EF16" s="50"/>
      <c r="EG16" s="50"/>
      <c r="EH16" s="50"/>
      <c r="EI16" s="50"/>
      <c r="EJ16" s="50"/>
      <c r="EK16" s="50"/>
      <c r="EL16" s="50"/>
      <c r="EM16" s="50"/>
      <c r="EN16" s="50"/>
      <c r="EO16" s="50"/>
      <c r="EP16" s="50"/>
      <c r="EQ16" s="50"/>
      <c r="ER16" s="50"/>
      <c r="ES16" s="50"/>
      <c r="ET16" s="50"/>
      <c r="EU16" s="50"/>
      <c r="EV16" s="50"/>
      <c r="EW16" s="50"/>
      <c r="EX16" s="50"/>
      <c r="EY16" s="50"/>
      <c r="EZ16" s="50"/>
      <c r="FA16" s="50"/>
      <c r="FB16" s="50"/>
      <c r="FC16" s="50"/>
      <c r="FD16" s="50"/>
      <c r="FE16" s="50"/>
      <c r="FF16" s="50"/>
      <c r="FG16" s="50"/>
      <c r="FH16" s="50"/>
      <c r="FI16" s="50"/>
      <c r="FJ16" s="50"/>
    </row>
    <row r="17" spans="1:166" s="45" customFormat="1" ht="30" customHeight="1" x14ac:dyDescent="0.3">
      <c r="A17" s="32" t="str">
        <f t="shared" si="128"/>
        <v>0.6</v>
      </c>
      <c r="B17" s="46" t="s">
        <v>95</v>
      </c>
      <c r="C17" s="34">
        <v>220501093</v>
      </c>
      <c r="D17" s="35" t="s">
        <v>96</v>
      </c>
      <c r="E17" s="47" t="s">
        <v>111</v>
      </c>
      <c r="F17" s="40"/>
      <c r="G17" s="48">
        <v>46152</v>
      </c>
      <c r="H17" s="39">
        <v>46644</v>
      </c>
      <c r="I17" s="40">
        <f t="shared" si="130"/>
        <v>352</v>
      </c>
      <c r="J17" s="41">
        <f t="shared" ca="1" si="131"/>
        <v>0.21022727272727273</v>
      </c>
      <c r="K17" s="42">
        <f t="shared" si="129"/>
        <v>352</v>
      </c>
      <c r="L17" s="49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50"/>
      <c r="BQ17" s="50"/>
      <c r="BR17" s="50"/>
      <c r="BS17" s="50"/>
      <c r="BT17" s="50"/>
      <c r="BU17" s="50"/>
      <c r="BV17" s="50"/>
      <c r="BW17" s="50"/>
      <c r="BX17" s="50"/>
      <c r="BY17" s="50"/>
      <c r="BZ17" s="50"/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  <c r="CQ17" s="50"/>
      <c r="CR17" s="50"/>
      <c r="CS17" s="50"/>
      <c r="CT17" s="50"/>
      <c r="CU17" s="50"/>
      <c r="CV17" s="50"/>
      <c r="CW17" s="50"/>
      <c r="CX17" s="50"/>
      <c r="CY17" s="50"/>
      <c r="CZ17" s="50"/>
      <c r="DA17" s="50"/>
      <c r="DB17" s="50"/>
      <c r="DC17" s="50"/>
      <c r="DD17" s="50"/>
      <c r="DE17" s="50"/>
      <c r="DF17" s="50"/>
      <c r="DG17" s="50"/>
      <c r="DH17" s="50"/>
      <c r="DI17" s="50"/>
      <c r="DJ17" s="50"/>
      <c r="DK17" s="50"/>
      <c r="DL17" s="50"/>
      <c r="DM17" s="50"/>
      <c r="DN17" s="50"/>
      <c r="DO17" s="50"/>
      <c r="DP17" s="50"/>
      <c r="DQ17" s="50"/>
      <c r="DR17" s="50"/>
      <c r="DS17" s="50"/>
      <c r="DT17" s="50"/>
      <c r="DU17" s="50"/>
      <c r="DV17" s="50"/>
      <c r="DW17" s="50"/>
      <c r="DX17" s="50"/>
      <c r="DY17" s="50"/>
      <c r="DZ17" s="50"/>
      <c r="EA17" s="50"/>
      <c r="EB17" s="50"/>
      <c r="EC17" s="50"/>
      <c r="ED17" s="50"/>
      <c r="EE17" s="50"/>
      <c r="EF17" s="50"/>
      <c r="EG17" s="50"/>
      <c r="EH17" s="50"/>
      <c r="EI17" s="50"/>
      <c r="EJ17" s="50"/>
      <c r="EK17" s="50"/>
      <c r="EL17" s="50"/>
      <c r="EM17" s="50"/>
      <c r="EN17" s="50"/>
      <c r="EO17" s="50"/>
      <c r="EP17" s="50"/>
      <c r="EQ17" s="50"/>
      <c r="ER17" s="50"/>
      <c r="ES17" s="50"/>
      <c r="ET17" s="50"/>
      <c r="EU17" s="50"/>
      <c r="EV17" s="50"/>
      <c r="EW17" s="50"/>
      <c r="EX17" s="50"/>
      <c r="EY17" s="50"/>
      <c r="EZ17" s="50"/>
      <c r="FA17" s="50"/>
      <c r="FB17" s="50"/>
      <c r="FC17" s="50"/>
      <c r="FD17" s="50"/>
      <c r="FE17" s="50"/>
      <c r="FF17" s="50"/>
      <c r="FG17" s="50"/>
      <c r="FH17" s="50"/>
      <c r="FI17" s="50"/>
      <c r="FJ17" s="50"/>
    </row>
    <row r="18" spans="1:166" s="45" customFormat="1" ht="69" x14ac:dyDescent="0.3">
      <c r="A18" s="32" t="str">
        <f t="shared" si="128"/>
        <v>0.7</v>
      </c>
      <c r="B18" s="46" t="s">
        <v>97</v>
      </c>
      <c r="C18" s="34">
        <v>220501093</v>
      </c>
      <c r="D18" s="35" t="s">
        <v>98</v>
      </c>
      <c r="E18" s="47" t="s">
        <v>111</v>
      </c>
      <c r="F18" s="40"/>
      <c r="G18" s="48">
        <v>46135</v>
      </c>
      <c r="H18" s="39">
        <v>46645</v>
      </c>
      <c r="I18" s="40">
        <f t="shared" si="130"/>
        <v>365</v>
      </c>
      <c r="J18" s="41">
        <f t="shared" ca="1" si="131"/>
        <v>0.23561643835616439</v>
      </c>
      <c r="K18" s="42">
        <f t="shared" si="129"/>
        <v>365</v>
      </c>
      <c r="L18" s="49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0"/>
      <c r="BU18" s="50"/>
      <c r="BV18" s="50"/>
      <c r="BW18" s="50"/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  <c r="CQ18" s="50"/>
      <c r="CR18" s="50"/>
      <c r="CS18" s="50"/>
      <c r="CT18" s="50"/>
      <c r="CU18" s="50"/>
      <c r="CV18" s="50"/>
      <c r="CW18" s="50"/>
      <c r="CX18" s="50"/>
      <c r="CY18" s="50"/>
      <c r="CZ18" s="50"/>
      <c r="DA18" s="50"/>
      <c r="DB18" s="50"/>
      <c r="DC18" s="50"/>
      <c r="DD18" s="50"/>
      <c r="DE18" s="50"/>
      <c r="DF18" s="50"/>
      <c r="DG18" s="50"/>
      <c r="DH18" s="50"/>
      <c r="DI18" s="50"/>
      <c r="DJ18" s="50"/>
      <c r="DK18" s="50"/>
      <c r="DL18" s="50"/>
      <c r="DM18" s="50"/>
      <c r="DN18" s="50"/>
      <c r="DO18" s="50"/>
      <c r="DP18" s="50"/>
      <c r="DQ18" s="50"/>
      <c r="DR18" s="50"/>
      <c r="DS18" s="50"/>
      <c r="DT18" s="50"/>
      <c r="DU18" s="50"/>
      <c r="DV18" s="50"/>
      <c r="DW18" s="50"/>
      <c r="DX18" s="50"/>
      <c r="DY18" s="50"/>
      <c r="DZ18" s="50"/>
      <c r="EA18" s="50"/>
      <c r="EB18" s="50"/>
      <c r="EC18" s="50"/>
      <c r="ED18" s="50"/>
      <c r="EE18" s="50"/>
      <c r="EF18" s="50"/>
      <c r="EG18" s="50"/>
      <c r="EH18" s="50"/>
      <c r="EI18" s="50"/>
      <c r="EJ18" s="50"/>
      <c r="EK18" s="50"/>
      <c r="EL18" s="50"/>
      <c r="EM18" s="50"/>
      <c r="EN18" s="50"/>
      <c r="EO18" s="50"/>
      <c r="EP18" s="50"/>
      <c r="EQ18" s="50"/>
      <c r="ER18" s="50"/>
      <c r="ES18" s="50"/>
      <c r="ET18" s="50"/>
      <c r="EU18" s="50"/>
      <c r="EV18" s="50"/>
      <c r="EW18" s="50"/>
      <c r="EX18" s="50"/>
      <c r="EY18" s="50"/>
      <c r="EZ18" s="50"/>
      <c r="FA18" s="50"/>
      <c r="FB18" s="50"/>
      <c r="FC18" s="50"/>
      <c r="FD18" s="50"/>
      <c r="FE18" s="50"/>
      <c r="FF18" s="50"/>
      <c r="FG18" s="50"/>
      <c r="FH18" s="50"/>
      <c r="FI18" s="50"/>
      <c r="FJ18" s="50"/>
    </row>
    <row r="19" spans="1:166" s="45" customFormat="1" ht="30" customHeight="1" x14ac:dyDescent="0.3">
      <c r="A19" s="32" t="str">
        <f t="shared" si="128"/>
        <v>0.8</v>
      </c>
      <c r="B19" s="33" t="s">
        <v>99</v>
      </c>
      <c r="C19" s="34">
        <v>220501093</v>
      </c>
      <c r="D19" s="35" t="s">
        <v>100</v>
      </c>
      <c r="E19" s="36" t="s">
        <v>112</v>
      </c>
      <c r="F19" s="37"/>
      <c r="G19" s="38">
        <v>46142</v>
      </c>
      <c r="H19" s="39">
        <v>46188</v>
      </c>
      <c r="I19" s="40">
        <f t="shared" si="130"/>
        <v>33</v>
      </c>
      <c r="J19" s="41">
        <f t="shared" ca="1" si="131"/>
        <v>1</v>
      </c>
      <c r="K19" s="52">
        <f t="shared" si="129"/>
        <v>33</v>
      </c>
      <c r="L19" s="49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0"/>
      <c r="BU19" s="50"/>
      <c r="BV19" s="50"/>
      <c r="BW19" s="50"/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  <c r="CQ19" s="50"/>
      <c r="CR19" s="50"/>
      <c r="CS19" s="50"/>
      <c r="CT19" s="50"/>
      <c r="CU19" s="50"/>
      <c r="CV19" s="50"/>
      <c r="CW19" s="50"/>
      <c r="CX19" s="50"/>
      <c r="CY19" s="50"/>
      <c r="CZ19" s="50"/>
      <c r="DA19" s="50"/>
      <c r="DB19" s="50"/>
      <c r="DC19" s="50"/>
      <c r="DD19" s="50"/>
      <c r="DE19" s="50"/>
      <c r="DF19" s="50"/>
      <c r="DG19" s="50"/>
      <c r="DH19" s="50"/>
      <c r="DI19" s="50"/>
      <c r="DJ19" s="50"/>
      <c r="DK19" s="50"/>
      <c r="DL19" s="50"/>
      <c r="DM19" s="50"/>
      <c r="DN19" s="50"/>
      <c r="DO19" s="50"/>
      <c r="DP19" s="50"/>
      <c r="DQ19" s="50"/>
      <c r="DR19" s="50"/>
      <c r="DS19" s="50"/>
      <c r="DT19" s="50"/>
      <c r="DU19" s="50"/>
      <c r="DV19" s="50"/>
      <c r="DW19" s="50"/>
      <c r="DX19" s="50"/>
      <c r="DY19" s="50"/>
      <c r="DZ19" s="50"/>
      <c r="EA19" s="50"/>
      <c r="EB19" s="50"/>
      <c r="EC19" s="50"/>
      <c r="ED19" s="50"/>
      <c r="EE19" s="50"/>
      <c r="EF19" s="50"/>
      <c r="EG19" s="50"/>
      <c r="EH19" s="50"/>
      <c r="EI19" s="50"/>
      <c r="EJ19" s="50"/>
      <c r="EK19" s="50"/>
      <c r="EL19" s="50"/>
      <c r="EM19" s="50"/>
      <c r="EN19" s="50"/>
      <c r="EO19" s="50"/>
      <c r="EP19" s="50"/>
      <c r="EQ19" s="50"/>
      <c r="ER19" s="50"/>
      <c r="ES19" s="50"/>
      <c r="ET19" s="50"/>
      <c r="EU19" s="50"/>
      <c r="EV19" s="50"/>
      <c r="EW19" s="50"/>
      <c r="EX19" s="50"/>
      <c r="EY19" s="50"/>
      <c r="EZ19" s="50"/>
      <c r="FA19" s="50"/>
      <c r="FB19" s="50"/>
      <c r="FC19" s="50"/>
      <c r="FD19" s="50"/>
      <c r="FE19" s="50"/>
      <c r="FF19" s="50"/>
      <c r="FG19" s="50"/>
      <c r="FH19" s="50"/>
      <c r="FI19" s="50"/>
      <c r="FJ19" s="50"/>
    </row>
    <row r="20" spans="1:166" s="45" customFormat="1" ht="30" customHeight="1" x14ac:dyDescent="0.3">
      <c r="A20" s="32" t="str">
        <f t="shared" si="128"/>
        <v>0.9</v>
      </c>
      <c r="B20" s="46" t="s">
        <v>101</v>
      </c>
      <c r="C20" s="34">
        <v>220501093</v>
      </c>
      <c r="D20" s="35" t="s">
        <v>102</v>
      </c>
      <c r="E20" s="47" t="s">
        <v>112</v>
      </c>
      <c r="F20" s="40"/>
      <c r="G20" s="48">
        <v>46142</v>
      </c>
      <c r="H20" s="39">
        <v>46155</v>
      </c>
      <c r="I20" s="40">
        <f t="shared" si="130"/>
        <v>10</v>
      </c>
      <c r="J20" s="41">
        <f t="shared" ca="1" si="131"/>
        <v>1</v>
      </c>
      <c r="K20" s="42">
        <f t="shared" si="129"/>
        <v>10</v>
      </c>
      <c r="L20" s="49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0"/>
      <c r="BU20" s="50"/>
      <c r="BV20" s="50"/>
      <c r="BW20" s="50"/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  <c r="CQ20" s="50"/>
      <c r="CR20" s="50"/>
      <c r="CS20" s="50"/>
      <c r="CT20" s="50"/>
      <c r="CU20" s="50"/>
      <c r="CV20" s="50"/>
      <c r="CW20" s="50"/>
      <c r="CX20" s="50"/>
      <c r="CY20" s="50"/>
      <c r="CZ20" s="50"/>
      <c r="DA20" s="50"/>
      <c r="DB20" s="50"/>
      <c r="DC20" s="50"/>
      <c r="DD20" s="50"/>
      <c r="DE20" s="50"/>
      <c r="DF20" s="50"/>
      <c r="DG20" s="50"/>
      <c r="DH20" s="50"/>
      <c r="DI20" s="50"/>
      <c r="DJ20" s="50"/>
      <c r="DK20" s="50"/>
      <c r="DL20" s="50"/>
      <c r="DM20" s="50"/>
      <c r="DN20" s="50"/>
      <c r="DO20" s="50"/>
      <c r="DP20" s="50"/>
      <c r="DQ20" s="50"/>
      <c r="DR20" s="50"/>
      <c r="DS20" s="50"/>
      <c r="DT20" s="50"/>
      <c r="DU20" s="50"/>
      <c r="DV20" s="50"/>
      <c r="DW20" s="50"/>
      <c r="DX20" s="50"/>
      <c r="DY20" s="50"/>
      <c r="DZ20" s="50"/>
      <c r="EA20" s="50"/>
      <c r="EB20" s="50"/>
      <c r="EC20" s="50"/>
      <c r="ED20" s="50"/>
      <c r="EE20" s="50"/>
      <c r="EF20" s="50"/>
      <c r="EG20" s="50"/>
      <c r="EH20" s="50"/>
      <c r="EI20" s="50"/>
      <c r="EJ20" s="50"/>
      <c r="EK20" s="50"/>
      <c r="EL20" s="50"/>
      <c r="EM20" s="50"/>
      <c r="EN20" s="50"/>
      <c r="EO20" s="50"/>
      <c r="EP20" s="50"/>
      <c r="EQ20" s="50"/>
      <c r="ER20" s="50"/>
      <c r="ES20" s="50"/>
      <c r="ET20" s="50"/>
      <c r="EU20" s="50"/>
      <c r="EV20" s="50"/>
      <c r="EW20" s="50"/>
      <c r="EX20" s="50"/>
      <c r="EY20" s="50"/>
      <c r="EZ20" s="50"/>
      <c r="FA20" s="50"/>
      <c r="FB20" s="50"/>
      <c r="FC20" s="50"/>
      <c r="FD20" s="50"/>
      <c r="FE20" s="50"/>
      <c r="FF20" s="50"/>
      <c r="FG20" s="50"/>
      <c r="FH20" s="50"/>
      <c r="FI20" s="50"/>
      <c r="FJ20" s="50"/>
    </row>
    <row r="21" spans="1:166" s="45" customFormat="1" ht="30" customHeight="1" x14ac:dyDescent="0.3">
      <c r="A21" s="32" t="str">
        <f t="shared" si="128"/>
        <v>0.10</v>
      </c>
      <c r="B21" s="46" t="s">
        <v>103</v>
      </c>
      <c r="C21" s="34">
        <v>220501094</v>
      </c>
      <c r="D21" s="35" t="s">
        <v>104</v>
      </c>
      <c r="E21" s="47" t="s">
        <v>113</v>
      </c>
      <c r="F21" s="40"/>
      <c r="G21" s="48">
        <v>46168</v>
      </c>
      <c r="H21" s="39">
        <v>46181</v>
      </c>
      <c r="I21" s="40">
        <f t="shared" si="130"/>
        <v>10</v>
      </c>
      <c r="J21" s="41">
        <f t="shared" ca="1" si="131"/>
        <v>1</v>
      </c>
      <c r="K21" s="42">
        <f t="shared" si="129"/>
        <v>10</v>
      </c>
      <c r="L21" s="49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</row>
    <row r="22" spans="1:166" s="45" customFormat="1" ht="30" customHeight="1" x14ac:dyDescent="0.3">
      <c r="A22" s="32" t="str">
        <f t="shared" si="128"/>
        <v>0.11</v>
      </c>
      <c r="B22" s="46" t="s">
        <v>105</v>
      </c>
      <c r="C22" s="34">
        <v>220501094</v>
      </c>
      <c r="D22" s="35" t="s">
        <v>106</v>
      </c>
      <c r="E22" s="47" t="s">
        <v>112</v>
      </c>
      <c r="F22" s="40"/>
      <c r="G22" s="48">
        <v>46180</v>
      </c>
      <c r="H22" s="39">
        <v>46189</v>
      </c>
      <c r="I22" s="40">
        <f t="shared" si="130"/>
        <v>7</v>
      </c>
      <c r="J22" s="41">
        <f t="shared" ca="1" si="131"/>
        <v>1</v>
      </c>
      <c r="K22" s="42">
        <f t="shared" si="129"/>
        <v>7</v>
      </c>
      <c r="L22" s="49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50"/>
      <c r="BQ22" s="50"/>
      <c r="BR22" s="50"/>
      <c r="BS22" s="50"/>
      <c r="BT22" s="50"/>
      <c r="BU22" s="50"/>
      <c r="BV22" s="50"/>
      <c r="BW22" s="50"/>
      <c r="BX22" s="50"/>
      <c r="BY22" s="50"/>
      <c r="BZ22" s="50"/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  <c r="CQ22" s="50"/>
      <c r="CR22" s="50"/>
      <c r="CS22" s="50"/>
      <c r="CT22" s="50"/>
      <c r="CU22" s="50"/>
      <c r="CV22" s="50"/>
      <c r="CW22" s="50"/>
      <c r="CX22" s="50"/>
      <c r="CY22" s="50"/>
      <c r="CZ22" s="50"/>
      <c r="DA22" s="50"/>
      <c r="DB22" s="50"/>
      <c r="DC22" s="50"/>
      <c r="DD22" s="50"/>
      <c r="DE22" s="50"/>
      <c r="DF22" s="50"/>
      <c r="DG22" s="50"/>
      <c r="DH22" s="50"/>
      <c r="DI22" s="50"/>
      <c r="DJ22" s="50"/>
      <c r="DK22" s="50"/>
      <c r="DL22" s="50"/>
      <c r="DM22" s="50"/>
      <c r="DN22" s="50"/>
      <c r="DO22" s="50"/>
      <c r="DP22" s="50"/>
      <c r="DQ22" s="50"/>
      <c r="DR22" s="50"/>
      <c r="DS22" s="50"/>
      <c r="DT22" s="50"/>
      <c r="DU22" s="50"/>
      <c r="DV22" s="50"/>
      <c r="DW22" s="50"/>
      <c r="DX22" s="50"/>
      <c r="DY22" s="50"/>
      <c r="DZ22" s="50"/>
      <c r="EA22" s="50"/>
      <c r="EB22" s="50"/>
      <c r="EC22" s="50"/>
      <c r="ED22" s="50"/>
      <c r="EE22" s="50"/>
      <c r="EF22" s="50"/>
      <c r="EG22" s="50"/>
      <c r="EH22" s="50"/>
      <c r="EI22" s="50"/>
      <c r="EJ22" s="50"/>
      <c r="EK22" s="50"/>
      <c r="EL22" s="50"/>
      <c r="EM22" s="50"/>
      <c r="EN22" s="50"/>
      <c r="EO22" s="50"/>
      <c r="EP22" s="50"/>
      <c r="EQ22" s="50"/>
      <c r="ER22" s="50"/>
      <c r="ES22" s="50"/>
      <c r="ET22" s="50"/>
      <c r="EU22" s="50"/>
      <c r="EV22" s="50"/>
      <c r="EW22" s="50"/>
      <c r="EX22" s="50"/>
      <c r="EY22" s="50"/>
      <c r="EZ22" s="50"/>
      <c r="FA22" s="50"/>
      <c r="FB22" s="50"/>
      <c r="FC22" s="50"/>
      <c r="FD22" s="50"/>
      <c r="FE22" s="50"/>
      <c r="FF22" s="50"/>
      <c r="FG22" s="50"/>
      <c r="FH22" s="50"/>
      <c r="FI22" s="50"/>
      <c r="FJ22" s="50"/>
    </row>
    <row r="23" spans="1:166" s="45" customFormat="1" ht="30" customHeight="1" thickBot="1" x14ac:dyDescent="0.35">
      <c r="A23" s="32" t="str">
        <f t="shared" si="128"/>
        <v>0.12</v>
      </c>
      <c r="B23" s="46" t="s">
        <v>107</v>
      </c>
      <c r="C23" s="34">
        <v>220501094</v>
      </c>
      <c r="D23" s="35" t="s">
        <v>108</v>
      </c>
      <c r="E23" s="47" t="s">
        <v>109</v>
      </c>
      <c r="F23" s="40"/>
      <c r="G23" s="48">
        <v>46209</v>
      </c>
      <c r="H23" s="39">
        <v>46211</v>
      </c>
      <c r="I23" s="40">
        <f t="shared" si="130"/>
        <v>3</v>
      </c>
      <c r="J23" s="41">
        <f t="shared" ca="1" si="131"/>
        <v>1</v>
      </c>
      <c r="K23" s="42">
        <f t="shared" si="129"/>
        <v>3</v>
      </c>
      <c r="L23" s="49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0"/>
      <c r="BU23" s="50"/>
      <c r="BV23" s="50"/>
      <c r="BW23" s="50"/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  <c r="CQ23" s="50"/>
      <c r="CR23" s="50"/>
      <c r="CS23" s="50"/>
      <c r="CT23" s="50"/>
      <c r="CU23" s="50"/>
      <c r="CV23" s="50"/>
      <c r="CW23" s="50"/>
      <c r="CX23" s="50"/>
      <c r="CY23" s="50"/>
      <c r="CZ23" s="50"/>
      <c r="DA23" s="50"/>
      <c r="DB23" s="50"/>
      <c r="DC23" s="50"/>
      <c r="DD23" s="50"/>
      <c r="DE23" s="50"/>
      <c r="DF23" s="50"/>
      <c r="DG23" s="50"/>
      <c r="DH23" s="50"/>
      <c r="DI23" s="50"/>
      <c r="DJ23" s="50"/>
      <c r="DK23" s="50"/>
      <c r="DL23" s="50"/>
      <c r="DM23" s="50"/>
      <c r="DN23" s="50"/>
      <c r="DO23" s="50"/>
      <c r="DP23" s="50"/>
      <c r="DQ23" s="50"/>
      <c r="DR23" s="50"/>
      <c r="DS23" s="50"/>
      <c r="DT23" s="50"/>
      <c r="DU23" s="50"/>
      <c r="DV23" s="50"/>
      <c r="DW23" s="50"/>
      <c r="DX23" s="50"/>
      <c r="DY23" s="50"/>
      <c r="DZ23" s="50"/>
      <c r="EA23" s="50"/>
      <c r="EB23" s="50"/>
      <c r="EC23" s="50"/>
      <c r="ED23" s="50"/>
      <c r="EE23" s="50"/>
      <c r="EF23" s="50"/>
      <c r="EG23" s="50"/>
      <c r="EH23" s="50"/>
      <c r="EI23" s="50"/>
      <c r="EJ23" s="50"/>
      <c r="EK23" s="50"/>
      <c r="EL23" s="50"/>
      <c r="EM23" s="50"/>
      <c r="EN23" s="50"/>
      <c r="EO23" s="50"/>
      <c r="EP23" s="50"/>
      <c r="EQ23" s="50"/>
      <c r="ER23" s="50"/>
      <c r="ES23" s="50"/>
      <c r="ET23" s="50"/>
      <c r="EU23" s="50"/>
      <c r="EV23" s="50"/>
      <c r="EW23" s="50"/>
      <c r="EX23" s="50"/>
      <c r="EY23" s="50"/>
      <c r="EZ23" s="50"/>
      <c r="FA23" s="50"/>
      <c r="FB23" s="50"/>
      <c r="FC23" s="50"/>
      <c r="FD23" s="50"/>
      <c r="FE23" s="50"/>
      <c r="FF23" s="50"/>
      <c r="FG23" s="50"/>
      <c r="FH23" s="50"/>
      <c r="FI23" s="50"/>
      <c r="FJ23" s="50"/>
    </row>
    <row r="24" spans="1:166" ht="5.0999999999999996" customHeight="1" thickBot="1" x14ac:dyDescent="0.35">
      <c r="A24" s="53"/>
      <c r="B24" s="54"/>
      <c r="C24" s="55"/>
      <c r="D24" s="56"/>
      <c r="E24" s="55"/>
      <c r="F24" s="54"/>
      <c r="G24" s="55"/>
      <c r="H24" s="55"/>
      <c r="I24" s="55"/>
      <c r="J24" s="54"/>
      <c r="K24" s="54"/>
      <c r="L24" s="54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</row>
  </sheetData>
  <sheetProtection formatCells="0" formatColumns="0" formatRows="0" insertRows="0" deleteRows="0"/>
  <autoFilter ref="A11:K23" xr:uid="{00000000-0009-0000-0000-000001000000}"/>
  <mergeCells count="50">
    <mergeCell ref="C9:D9"/>
    <mergeCell ref="M9:S9"/>
    <mergeCell ref="T9:Z9"/>
    <mergeCell ref="AA9:AG9"/>
    <mergeCell ref="A1:FJ1"/>
    <mergeCell ref="A2:FJ2"/>
    <mergeCell ref="A3:FJ3"/>
    <mergeCell ref="A4:FJ4"/>
    <mergeCell ref="C8:D8"/>
    <mergeCell ref="M8:S8"/>
    <mergeCell ref="T8:Z8"/>
    <mergeCell ref="AA8:AG8"/>
    <mergeCell ref="AH8:AN8"/>
    <mergeCell ref="AO8:AU8"/>
    <mergeCell ref="AH9:AN9"/>
    <mergeCell ref="BX8:CD8"/>
    <mergeCell ref="AO9:AU9"/>
    <mergeCell ref="AV9:BB9"/>
    <mergeCell ref="CL8:CR8"/>
    <mergeCell ref="CL9:CR9"/>
    <mergeCell ref="CS8:CY8"/>
    <mergeCell ref="CS9:CY9"/>
    <mergeCell ref="BX9:CD9"/>
    <mergeCell ref="CE8:CK8"/>
    <mergeCell ref="CE9:CK9"/>
    <mergeCell ref="AV8:BB8"/>
    <mergeCell ref="BC8:BI8"/>
    <mergeCell ref="BC9:BI9"/>
    <mergeCell ref="BJ8:BP8"/>
    <mergeCell ref="BJ9:BP9"/>
    <mergeCell ref="BQ8:BW8"/>
    <mergeCell ref="BQ9:BW9"/>
    <mergeCell ref="CZ8:DF8"/>
    <mergeCell ref="CZ9:DF9"/>
    <mergeCell ref="DG8:DM8"/>
    <mergeCell ref="DG9:DM9"/>
    <mergeCell ref="DN8:DT8"/>
    <mergeCell ref="DN9:DT9"/>
    <mergeCell ref="DU8:EA8"/>
    <mergeCell ref="DU9:EA9"/>
    <mergeCell ref="EW8:FC8"/>
    <mergeCell ref="EW9:FC9"/>
    <mergeCell ref="FD8:FJ8"/>
    <mergeCell ref="FD9:FJ9"/>
    <mergeCell ref="EB8:EH8"/>
    <mergeCell ref="EB9:EH9"/>
    <mergeCell ref="EI8:EO8"/>
    <mergeCell ref="EI9:EO9"/>
    <mergeCell ref="EP8:EV8"/>
    <mergeCell ref="EP9:EV9"/>
  </mergeCells>
  <conditionalFormatting sqref="J12:J23">
    <cfRule type="dataBar" priority="20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{9555C192-8157-48C5-9C24-BD4DEA3F362C}</x14:id>
        </ext>
      </extLst>
    </cfRule>
  </conditionalFormatting>
  <conditionalFormatting sqref="J18">
    <cfRule type="dataBar" priority="21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{5E08ACB1-34F8-4793-9EB3-C215C280FFEC}</x14:id>
        </ext>
      </extLst>
    </cfRule>
  </conditionalFormatting>
  <conditionalFormatting sqref="J20:J21">
    <cfRule type="dataBar" priority="16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{C562FDF6-4FA4-4622-8918-D852B27F0001}</x14:id>
        </ext>
      </extLst>
    </cfRule>
  </conditionalFormatting>
  <conditionalFormatting sqref="J22">
    <cfRule type="dataBar" priority="17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{4B37A572-00D5-42A6-A223-B7308875A2AB}</x14:id>
        </ext>
      </extLst>
    </cfRule>
  </conditionalFormatting>
  <conditionalFormatting sqref="M10:FJ11">
    <cfRule type="expression" dxfId="3" priority="25">
      <formula>M$10=TODAY()</formula>
    </cfRule>
  </conditionalFormatting>
  <conditionalFormatting sqref="M10:FJ23">
    <cfRule type="expression" dxfId="2" priority="1">
      <formula>M$10=TODAY()</formula>
    </cfRule>
  </conditionalFormatting>
  <conditionalFormatting sqref="M12:FJ23">
    <cfRule type="expression" dxfId="1" priority="26">
      <formula>AND($G12&lt;=M$10,ROUNDDOWN(($H12-$G12+1)*$J12,0)+$G12-1&gt;=M$10)</formula>
    </cfRule>
    <cfRule type="expression" dxfId="0" priority="27">
      <formula>AND(NOT(ISBLANK($G12)),$G12&lt;=M$10,$H12&gt;=M$10)</formula>
    </cfRule>
  </conditionalFormatting>
  <dataValidations count="1">
    <dataValidation allowBlank="1" showInputMessage="1" promptTitle="Display Week" prompt="Enter the week number to display first in the Gantt Chart. The weeks are numbered starting from the week containing the Project Start Date." sqref="J8" xr:uid="{D4FD45FD-E3A2-4813-AC3A-41EC5E72F091}"/>
  </dataValidations>
  <printOptions horizontalCentered="1"/>
  <pageMargins left="0.39370078740157483" right="0.39370078740157483" top="0.39370078740157483" bottom="0.39370078740157483" header="0" footer="0"/>
  <pageSetup scale="35" fitToHeight="0" pageOrder="overThenDown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Scroll Bar 1">
              <controlPr defaultSize="0" print="0" autoPict="0">
                <anchor moveWithCells="1">
                  <from>
                    <xdr:col>11</xdr:col>
                    <xdr:colOff>99060</xdr:colOff>
                    <xdr:row>5</xdr:row>
                    <xdr:rowOff>68580</xdr:rowOff>
                  </from>
                  <to>
                    <xdr:col>29</xdr:col>
                    <xdr:colOff>121920</xdr:colOff>
                    <xdr:row>6</xdr:row>
                    <xdr:rowOff>68580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55C192-8157-48C5-9C24-BD4DEA3F362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J12:J23</xm:sqref>
        </x14:conditionalFormatting>
        <x14:conditionalFormatting xmlns:xm="http://schemas.microsoft.com/office/excel/2006/main">
          <x14:cfRule type="dataBar" id="{5E08ACB1-34F8-4793-9EB3-C215C280FFE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J18</xm:sqref>
        </x14:conditionalFormatting>
        <x14:conditionalFormatting xmlns:xm="http://schemas.microsoft.com/office/excel/2006/main">
          <x14:cfRule type="dataBar" id="{C562FDF6-4FA4-4622-8918-D852B27F000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J20:J21</xm:sqref>
        </x14:conditionalFormatting>
        <x14:conditionalFormatting xmlns:xm="http://schemas.microsoft.com/office/excel/2006/main">
          <x14:cfRule type="dataBar" id="{4B37A572-00D5-42A6-A223-B7308875A2A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61DD3-3BF5-4301-9377-95A3AD943BAF}">
  <dimension ref="B2:L33"/>
  <sheetViews>
    <sheetView zoomScale="99" zoomScaleNormal="145" workbookViewId="0">
      <selection activeCell="N12" sqref="N12"/>
    </sheetView>
  </sheetViews>
  <sheetFormatPr baseColWidth="10" defaultRowHeight="14.4" x14ac:dyDescent="0.3"/>
  <cols>
    <col min="1" max="1" width="5.33203125" customWidth="1"/>
    <col min="4" max="4" width="13.21875" customWidth="1"/>
    <col min="6" max="6" width="6.109375" style="58" customWidth="1"/>
    <col min="7" max="8" width="12.5546875" customWidth="1"/>
    <col min="9" max="9" width="13.88671875" customWidth="1"/>
  </cols>
  <sheetData>
    <row r="2" spans="2:12" x14ac:dyDescent="0.3">
      <c r="B2" s="96" t="s">
        <v>33</v>
      </c>
      <c r="C2" s="96"/>
      <c r="D2" s="97" t="s">
        <v>34</v>
      </c>
      <c r="E2" s="97" t="s">
        <v>32</v>
      </c>
      <c r="F2" s="98" t="s">
        <v>122</v>
      </c>
      <c r="G2" s="96" t="s">
        <v>35</v>
      </c>
      <c r="H2" s="96"/>
      <c r="I2" s="97" t="s">
        <v>65</v>
      </c>
      <c r="J2" s="97" t="s">
        <v>66</v>
      </c>
      <c r="K2" s="97" t="s">
        <v>67</v>
      </c>
      <c r="L2" s="97" t="s">
        <v>68</v>
      </c>
    </row>
    <row r="3" spans="2:12" x14ac:dyDescent="0.3">
      <c r="B3" s="103" t="s">
        <v>63</v>
      </c>
      <c r="C3" s="103"/>
      <c r="D3" s="102" t="s">
        <v>36</v>
      </c>
      <c r="E3" s="110" t="s">
        <v>31</v>
      </c>
      <c r="F3" s="107" t="s">
        <v>123</v>
      </c>
      <c r="G3" s="111" t="s">
        <v>37</v>
      </c>
      <c r="H3" s="111"/>
      <c r="I3" s="109" t="s">
        <v>69</v>
      </c>
      <c r="J3" s="109"/>
      <c r="K3" s="109" t="s">
        <v>69</v>
      </c>
      <c r="L3" s="101" t="s">
        <v>120</v>
      </c>
    </row>
    <row r="4" spans="2:12" x14ac:dyDescent="0.3">
      <c r="B4" s="103"/>
      <c r="C4" s="103"/>
      <c r="D4" s="102"/>
      <c r="E4" s="110" t="s">
        <v>30</v>
      </c>
      <c r="F4" s="107" t="s">
        <v>124</v>
      </c>
      <c r="G4" s="111" t="s">
        <v>38</v>
      </c>
      <c r="H4" s="111"/>
      <c r="I4" s="109" t="s">
        <v>69</v>
      </c>
      <c r="J4" s="109" t="s">
        <v>69</v>
      </c>
      <c r="K4" s="109" t="s">
        <v>69</v>
      </c>
      <c r="L4" s="101" t="s">
        <v>120</v>
      </c>
    </row>
    <row r="5" spans="2:12" x14ac:dyDescent="0.3">
      <c r="B5" s="103"/>
      <c r="C5" s="103"/>
      <c r="D5" s="102"/>
      <c r="E5" s="110" t="s">
        <v>29</v>
      </c>
      <c r="F5" s="107" t="s">
        <v>125</v>
      </c>
      <c r="G5" s="111" t="s">
        <v>39</v>
      </c>
      <c r="H5" s="111"/>
      <c r="I5" s="109" t="s">
        <v>69</v>
      </c>
      <c r="J5" s="109"/>
      <c r="K5" s="109" t="s">
        <v>69</v>
      </c>
      <c r="L5" s="101" t="s">
        <v>120</v>
      </c>
    </row>
    <row r="6" spans="2:12" x14ac:dyDescent="0.3">
      <c r="B6" s="103"/>
      <c r="C6" s="103"/>
      <c r="D6" s="102"/>
      <c r="E6" s="110" t="s">
        <v>30</v>
      </c>
      <c r="F6" s="107" t="s">
        <v>126</v>
      </c>
      <c r="G6" s="111" t="s">
        <v>43</v>
      </c>
      <c r="H6" s="111"/>
      <c r="I6" s="109" t="s">
        <v>69</v>
      </c>
      <c r="J6" s="109" t="s">
        <v>69</v>
      </c>
      <c r="K6" s="109" t="s">
        <v>69</v>
      </c>
      <c r="L6" s="101" t="s">
        <v>121</v>
      </c>
    </row>
    <row r="7" spans="2:12" x14ac:dyDescent="0.3">
      <c r="B7" s="103" t="s">
        <v>61</v>
      </c>
      <c r="C7" s="103"/>
      <c r="D7" s="102" t="s">
        <v>40</v>
      </c>
      <c r="E7" s="110" t="s">
        <v>31</v>
      </c>
      <c r="F7" s="107" t="s">
        <v>127</v>
      </c>
      <c r="G7" s="111" t="s">
        <v>42</v>
      </c>
      <c r="H7" s="111"/>
      <c r="I7" s="109" t="s">
        <v>69</v>
      </c>
      <c r="J7" s="109" t="s">
        <v>69</v>
      </c>
      <c r="K7" s="109" t="s">
        <v>69</v>
      </c>
      <c r="L7" s="101" t="s">
        <v>120</v>
      </c>
    </row>
    <row r="8" spans="2:12" x14ac:dyDescent="0.3">
      <c r="B8" s="103"/>
      <c r="C8" s="103"/>
      <c r="D8" s="102"/>
      <c r="E8" s="110" t="s">
        <v>30</v>
      </c>
      <c r="F8" s="107" t="s">
        <v>128</v>
      </c>
      <c r="G8" s="111" t="s">
        <v>41</v>
      </c>
      <c r="H8" s="111"/>
      <c r="I8" s="109" t="s">
        <v>69</v>
      </c>
      <c r="J8" s="109" t="s">
        <v>69</v>
      </c>
      <c r="K8" s="109" t="s">
        <v>69</v>
      </c>
      <c r="L8" s="101" t="s">
        <v>120</v>
      </c>
    </row>
    <row r="9" spans="2:12" x14ac:dyDescent="0.3">
      <c r="B9" s="103"/>
      <c r="C9" s="103"/>
      <c r="D9" s="102"/>
      <c r="E9" s="110" t="s">
        <v>29</v>
      </c>
      <c r="F9" s="107" t="s">
        <v>129</v>
      </c>
      <c r="G9" s="111" t="s">
        <v>44</v>
      </c>
      <c r="H9" s="111"/>
      <c r="I9" s="109" t="s">
        <v>69</v>
      </c>
      <c r="J9" s="109" t="s">
        <v>69</v>
      </c>
      <c r="K9" s="109" t="s">
        <v>69</v>
      </c>
      <c r="L9" s="101" t="s">
        <v>120</v>
      </c>
    </row>
    <row r="10" spans="2:12" x14ac:dyDescent="0.3">
      <c r="B10" s="103"/>
      <c r="C10" s="103"/>
      <c r="D10" s="102"/>
      <c r="E10" s="110" t="s">
        <v>28</v>
      </c>
      <c r="F10" s="107" t="s">
        <v>130</v>
      </c>
      <c r="G10" s="111" t="s">
        <v>45</v>
      </c>
      <c r="H10" s="111"/>
      <c r="I10" s="109" t="s">
        <v>69</v>
      </c>
      <c r="J10" s="109" t="s">
        <v>69</v>
      </c>
      <c r="K10" s="109" t="s">
        <v>69</v>
      </c>
      <c r="L10" s="101" t="s">
        <v>120</v>
      </c>
    </row>
    <row r="11" spans="2:12" x14ac:dyDescent="0.3">
      <c r="B11" s="103" t="s">
        <v>64</v>
      </c>
      <c r="C11" s="103"/>
      <c r="D11" s="102" t="s">
        <v>46</v>
      </c>
      <c r="E11" s="110" t="s">
        <v>31</v>
      </c>
      <c r="F11" s="107" t="s">
        <v>131</v>
      </c>
      <c r="G11" s="111" t="s">
        <v>47</v>
      </c>
      <c r="H11" s="111"/>
      <c r="I11" s="109" t="s">
        <v>69</v>
      </c>
      <c r="J11" s="109"/>
      <c r="K11" s="109"/>
      <c r="L11" s="101" t="s">
        <v>120</v>
      </c>
    </row>
    <row r="12" spans="2:12" x14ac:dyDescent="0.3">
      <c r="B12" s="103"/>
      <c r="C12" s="103"/>
      <c r="D12" s="102"/>
      <c r="E12" s="110" t="s">
        <v>30</v>
      </c>
      <c r="F12" s="107" t="s">
        <v>132</v>
      </c>
      <c r="G12" s="111" t="s">
        <v>48</v>
      </c>
      <c r="H12" s="111"/>
      <c r="I12" s="109" t="s">
        <v>69</v>
      </c>
      <c r="J12" s="109" t="s">
        <v>69</v>
      </c>
      <c r="K12" s="109" t="s">
        <v>69</v>
      </c>
      <c r="L12" s="101" t="s">
        <v>120</v>
      </c>
    </row>
    <row r="13" spans="2:12" x14ac:dyDescent="0.3">
      <c r="B13" s="103"/>
      <c r="C13" s="103"/>
      <c r="D13" s="102"/>
      <c r="E13" s="110" t="s">
        <v>30</v>
      </c>
      <c r="F13" s="107" t="s">
        <v>133</v>
      </c>
      <c r="G13" s="111" t="s">
        <v>49</v>
      </c>
      <c r="H13" s="111"/>
      <c r="I13" s="109" t="s">
        <v>69</v>
      </c>
      <c r="J13" s="109" t="s">
        <v>69</v>
      </c>
      <c r="K13" s="109"/>
      <c r="L13" s="101" t="s">
        <v>120</v>
      </c>
    </row>
    <row r="14" spans="2:12" x14ac:dyDescent="0.3">
      <c r="B14" s="103" t="s">
        <v>60</v>
      </c>
      <c r="C14" s="103"/>
      <c r="D14" s="104" t="s">
        <v>50</v>
      </c>
      <c r="E14" s="110" t="s">
        <v>31</v>
      </c>
      <c r="F14" s="107" t="s">
        <v>134</v>
      </c>
      <c r="G14" s="111" t="s">
        <v>51</v>
      </c>
      <c r="H14" s="111"/>
      <c r="I14" s="109" t="s">
        <v>69</v>
      </c>
      <c r="J14" s="109"/>
      <c r="K14" s="109"/>
      <c r="L14" s="101" t="s">
        <v>120</v>
      </c>
    </row>
    <row r="15" spans="2:12" x14ac:dyDescent="0.3">
      <c r="B15" s="103"/>
      <c r="C15" s="103"/>
      <c r="D15" s="105"/>
      <c r="E15" s="110" t="s">
        <v>29</v>
      </c>
      <c r="F15" s="107" t="s">
        <v>135</v>
      </c>
      <c r="G15" s="111" t="s">
        <v>119</v>
      </c>
      <c r="H15" s="111"/>
      <c r="I15" s="109" t="s">
        <v>69</v>
      </c>
      <c r="J15" s="109"/>
      <c r="K15" s="109"/>
      <c r="L15" s="101" t="s">
        <v>120</v>
      </c>
    </row>
    <row r="16" spans="2:12" x14ac:dyDescent="0.3">
      <c r="B16" s="103"/>
      <c r="C16" s="103"/>
      <c r="D16" s="105"/>
      <c r="E16" s="110" t="s">
        <v>29</v>
      </c>
      <c r="F16" s="107" t="s">
        <v>136</v>
      </c>
      <c r="G16" s="111" t="s">
        <v>118</v>
      </c>
      <c r="H16" s="111"/>
      <c r="I16" s="109" t="s">
        <v>69</v>
      </c>
      <c r="J16" s="109"/>
      <c r="K16" s="109"/>
      <c r="L16" s="101" t="s">
        <v>121</v>
      </c>
    </row>
    <row r="17" spans="2:12" x14ac:dyDescent="0.3">
      <c r="B17" s="103"/>
      <c r="C17" s="103"/>
      <c r="D17" s="106"/>
      <c r="E17" s="110" t="s">
        <v>29</v>
      </c>
      <c r="F17" s="107" t="s">
        <v>137</v>
      </c>
      <c r="G17" s="111" t="s">
        <v>117</v>
      </c>
      <c r="H17" s="111"/>
      <c r="I17" s="109" t="s">
        <v>69</v>
      </c>
      <c r="J17" s="109" t="s">
        <v>69</v>
      </c>
      <c r="K17" s="109"/>
      <c r="L17" s="101" t="s">
        <v>121</v>
      </c>
    </row>
    <row r="18" spans="2:12" x14ac:dyDescent="0.3">
      <c r="B18" s="103" t="s">
        <v>64</v>
      </c>
      <c r="C18" s="103"/>
      <c r="D18" s="104" t="s">
        <v>216</v>
      </c>
      <c r="E18" s="110" t="s">
        <v>31</v>
      </c>
      <c r="F18" s="107" t="s">
        <v>138</v>
      </c>
      <c r="G18" s="112" t="s">
        <v>217</v>
      </c>
      <c r="H18" s="113"/>
      <c r="I18" s="109" t="s">
        <v>69</v>
      </c>
      <c r="J18" s="109"/>
      <c r="K18" s="109"/>
      <c r="L18" s="101" t="s">
        <v>120</v>
      </c>
    </row>
    <row r="19" spans="2:12" x14ac:dyDescent="0.3">
      <c r="B19" s="103"/>
      <c r="C19" s="103"/>
      <c r="D19" s="105"/>
      <c r="E19" s="110" t="s">
        <v>30</v>
      </c>
      <c r="F19" s="107" t="s">
        <v>139</v>
      </c>
      <c r="G19" s="112" t="s">
        <v>218</v>
      </c>
      <c r="H19" s="113"/>
      <c r="I19" s="109" t="s">
        <v>69</v>
      </c>
      <c r="J19" s="109" t="s">
        <v>69</v>
      </c>
      <c r="K19" s="109"/>
      <c r="L19" s="101" t="s">
        <v>120</v>
      </c>
    </row>
    <row r="20" spans="2:12" x14ac:dyDescent="0.3">
      <c r="B20" s="103"/>
      <c r="C20" s="103"/>
      <c r="D20" s="105"/>
      <c r="E20" s="110" t="s">
        <v>29</v>
      </c>
      <c r="F20" s="107" t="s">
        <v>140</v>
      </c>
      <c r="G20" s="112" t="s">
        <v>219</v>
      </c>
      <c r="H20" s="113"/>
      <c r="I20" s="109" t="s">
        <v>69</v>
      </c>
      <c r="J20" s="109" t="s">
        <v>69</v>
      </c>
      <c r="K20" s="109"/>
      <c r="L20" s="101" t="s">
        <v>120</v>
      </c>
    </row>
    <row r="21" spans="2:12" x14ac:dyDescent="0.3">
      <c r="B21" s="103"/>
      <c r="C21" s="103"/>
      <c r="D21" s="106"/>
      <c r="E21" s="110" t="s">
        <v>29</v>
      </c>
      <c r="F21" s="107" t="s">
        <v>141</v>
      </c>
      <c r="G21" s="112" t="s">
        <v>220</v>
      </c>
      <c r="H21" s="113"/>
      <c r="I21" s="109" t="s">
        <v>69</v>
      </c>
      <c r="J21" s="109"/>
      <c r="K21" s="109"/>
      <c r="L21" s="101" t="s">
        <v>121</v>
      </c>
    </row>
    <row r="22" spans="2:12" ht="14.4" customHeight="1" x14ac:dyDescent="0.3">
      <c r="B22" s="103" t="s">
        <v>62</v>
      </c>
      <c r="C22" s="103"/>
      <c r="D22" s="103" t="s">
        <v>52</v>
      </c>
      <c r="E22" s="110" t="s">
        <v>31</v>
      </c>
      <c r="F22" s="107" t="s">
        <v>142</v>
      </c>
      <c r="G22" s="111" t="s">
        <v>114</v>
      </c>
      <c r="H22" s="111"/>
      <c r="I22" s="109" t="s">
        <v>69</v>
      </c>
      <c r="J22" s="109" t="s">
        <v>69</v>
      </c>
      <c r="K22" s="109" t="s">
        <v>69</v>
      </c>
      <c r="L22" s="101" t="s">
        <v>120</v>
      </c>
    </row>
    <row r="23" spans="2:12" x14ac:dyDescent="0.3">
      <c r="B23" s="103"/>
      <c r="C23" s="103"/>
      <c r="D23" s="103"/>
      <c r="E23" s="110" t="s">
        <v>30</v>
      </c>
      <c r="F23" s="107" t="s">
        <v>143</v>
      </c>
      <c r="G23" s="111" t="s">
        <v>115</v>
      </c>
      <c r="H23" s="111"/>
      <c r="I23" s="109" t="s">
        <v>69</v>
      </c>
      <c r="J23" s="109"/>
      <c r="K23" s="109"/>
      <c r="L23" s="101" t="s">
        <v>121</v>
      </c>
    </row>
    <row r="24" spans="2:12" x14ac:dyDescent="0.3">
      <c r="B24" s="103"/>
      <c r="C24" s="103"/>
      <c r="D24" s="103"/>
      <c r="E24" s="110" t="s">
        <v>30</v>
      </c>
      <c r="F24" s="107" t="s">
        <v>144</v>
      </c>
      <c r="G24" s="111" t="s">
        <v>53</v>
      </c>
      <c r="H24" s="111"/>
      <c r="I24" s="109" t="s">
        <v>69</v>
      </c>
      <c r="J24" s="109"/>
      <c r="K24" s="109"/>
      <c r="L24" s="101" t="s">
        <v>120</v>
      </c>
    </row>
    <row r="25" spans="2:12" ht="14.4" customHeight="1" x14ac:dyDescent="0.3">
      <c r="B25" s="103"/>
      <c r="C25" s="103"/>
      <c r="D25" s="103"/>
      <c r="E25" s="110" t="s">
        <v>30</v>
      </c>
      <c r="F25" s="107" t="s">
        <v>145</v>
      </c>
      <c r="G25" s="111" t="s">
        <v>54</v>
      </c>
      <c r="H25" s="111"/>
      <c r="I25" s="109" t="s">
        <v>69</v>
      </c>
      <c r="J25" s="109"/>
      <c r="K25" s="109"/>
      <c r="L25" s="101" t="s">
        <v>120</v>
      </c>
    </row>
    <row r="26" spans="2:12" ht="22.8" customHeight="1" x14ac:dyDescent="0.3">
      <c r="B26" s="103" t="s">
        <v>64</v>
      </c>
      <c r="C26" s="103"/>
      <c r="D26" s="103" t="s">
        <v>55</v>
      </c>
      <c r="E26" s="110" t="s">
        <v>30</v>
      </c>
      <c r="F26" s="107" t="s">
        <v>221</v>
      </c>
      <c r="G26" s="111" t="s">
        <v>56</v>
      </c>
      <c r="H26" s="111"/>
      <c r="I26" s="109" t="s">
        <v>69</v>
      </c>
      <c r="J26" s="109"/>
      <c r="K26" s="109"/>
      <c r="L26" s="101" t="s">
        <v>120</v>
      </c>
    </row>
    <row r="27" spans="2:12" ht="28.8" x14ac:dyDescent="0.3">
      <c r="B27" s="103"/>
      <c r="C27" s="103"/>
      <c r="D27" s="103"/>
      <c r="E27" s="107" t="s">
        <v>116</v>
      </c>
      <c r="F27" s="107" t="s">
        <v>222</v>
      </c>
      <c r="G27" s="111" t="s">
        <v>57</v>
      </c>
      <c r="H27" s="111"/>
      <c r="I27" s="109" t="s">
        <v>69</v>
      </c>
      <c r="J27" s="109"/>
      <c r="K27" s="109"/>
      <c r="L27" s="101" t="s">
        <v>120</v>
      </c>
    </row>
    <row r="28" spans="2:12" x14ac:dyDescent="0.3">
      <c r="B28" s="103"/>
      <c r="C28" s="103"/>
      <c r="D28" s="103"/>
      <c r="E28" s="110" t="s">
        <v>30</v>
      </c>
      <c r="F28" s="107" t="s">
        <v>223</v>
      </c>
      <c r="G28" s="111" t="s">
        <v>58</v>
      </c>
      <c r="H28" s="111"/>
      <c r="I28" s="109" t="s">
        <v>69</v>
      </c>
      <c r="J28" s="109"/>
      <c r="K28" s="109"/>
      <c r="L28" s="101" t="s">
        <v>121</v>
      </c>
    </row>
    <row r="29" spans="2:12" x14ac:dyDescent="0.3">
      <c r="B29" s="103"/>
      <c r="C29" s="103"/>
      <c r="D29" s="103"/>
      <c r="E29" s="110" t="s">
        <v>29</v>
      </c>
      <c r="F29" s="107" t="s">
        <v>224</v>
      </c>
      <c r="G29" s="111" t="s">
        <v>59</v>
      </c>
      <c r="H29" s="111"/>
      <c r="I29" s="109" t="s">
        <v>69</v>
      </c>
      <c r="J29" s="108"/>
      <c r="K29" s="108"/>
      <c r="L29" s="101" t="s">
        <v>121</v>
      </c>
    </row>
    <row r="31" spans="2:12" ht="15.6" customHeight="1" x14ac:dyDescent="0.3"/>
    <row r="32" spans="2:12" ht="15.6" customHeight="1" x14ac:dyDescent="0.3"/>
    <row r="33" ht="15.6" customHeight="1" x14ac:dyDescent="0.3"/>
  </sheetData>
  <mergeCells count="43">
    <mergeCell ref="D18:D21"/>
    <mergeCell ref="B18:C21"/>
    <mergeCell ref="G18:H18"/>
    <mergeCell ref="G19:H19"/>
    <mergeCell ref="G20:H20"/>
    <mergeCell ref="G21:H21"/>
    <mergeCell ref="B26:C29"/>
    <mergeCell ref="D26:D29"/>
    <mergeCell ref="B2:C2"/>
    <mergeCell ref="D3:D6"/>
    <mergeCell ref="G22:H22"/>
    <mergeCell ref="B22:C25"/>
    <mergeCell ref="D22:D25"/>
    <mergeCell ref="G2:H2"/>
    <mergeCell ref="G7:H7"/>
    <mergeCell ref="G8:H8"/>
    <mergeCell ref="G9:H9"/>
    <mergeCell ref="G10:H10"/>
    <mergeCell ref="D11:D13"/>
    <mergeCell ref="D14:D17"/>
    <mergeCell ref="G16:H16"/>
    <mergeCell ref="G17:H17"/>
    <mergeCell ref="G29:H29"/>
    <mergeCell ref="G23:H23"/>
    <mergeCell ref="G24:H24"/>
    <mergeCell ref="G25:H25"/>
    <mergeCell ref="G26:H26"/>
    <mergeCell ref="G27:H27"/>
    <mergeCell ref="G28:H28"/>
    <mergeCell ref="B7:C10"/>
    <mergeCell ref="B11:C13"/>
    <mergeCell ref="B14:C17"/>
    <mergeCell ref="G3:H3"/>
    <mergeCell ref="G4:H4"/>
    <mergeCell ref="G5:H5"/>
    <mergeCell ref="G6:H6"/>
    <mergeCell ref="B3:C6"/>
    <mergeCell ref="G15:H15"/>
    <mergeCell ref="D7:D10"/>
    <mergeCell ref="G11:H11"/>
    <mergeCell ref="G12:H12"/>
    <mergeCell ref="G13:H13"/>
    <mergeCell ref="G14:H14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2025E-6FEC-4E6C-B951-D74EAC3BD383}">
  <dimension ref="B2:J36"/>
  <sheetViews>
    <sheetView zoomScale="80" zoomScaleNormal="80" workbookViewId="0">
      <selection activeCell="C2" sqref="C2"/>
    </sheetView>
  </sheetViews>
  <sheetFormatPr baseColWidth="10" defaultRowHeight="14.4" x14ac:dyDescent="0.3"/>
  <cols>
    <col min="1" max="1" width="5.33203125" customWidth="1"/>
    <col min="2" max="2" width="7.33203125" customWidth="1"/>
    <col min="3" max="3" width="34.77734375" customWidth="1"/>
    <col min="4" max="4" width="15.5546875" customWidth="1"/>
    <col min="5" max="5" width="18.109375" customWidth="1"/>
    <col min="6" max="7" width="23.5546875" customWidth="1"/>
  </cols>
  <sheetData>
    <row r="2" spans="2:8" ht="21" x14ac:dyDescent="0.3">
      <c r="B2" s="100" t="s">
        <v>147</v>
      </c>
      <c r="C2" s="100" t="s">
        <v>152</v>
      </c>
      <c r="D2" s="100" t="s">
        <v>153</v>
      </c>
      <c r="E2" s="100" t="s">
        <v>154</v>
      </c>
      <c r="F2" s="100" t="s">
        <v>155</v>
      </c>
      <c r="G2" s="100" t="s">
        <v>156</v>
      </c>
      <c r="H2" s="100" t="s">
        <v>157</v>
      </c>
    </row>
    <row r="3" spans="2:8" x14ac:dyDescent="0.3">
      <c r="B3" s="101">
        <v>1</v>
      </c>
      <c r="C3" s="102" t="s">
        <v>230</v>
      </c>
      <c r="D3" s="102"/>
      <c r="E3" s="102"/>
      <c r="F3" s="102"/>
      <c r="G3" s="102"/>
      <c r="H3" s="102"/>
    </row>
    <row r="4" spans="2:8" ht="28.8" x14ac:dyDescent="0.3">
      <c r="B4" s="109" t="s">
        <v>158</v>
      </c>
      <c r="C4" s="114" t="s">
        <v>213</v>
      </c>
      <c r="D4" s="114" t="s">
        <v>225</v>
      </c>
      <c r="E4" s="114" t="s">
        <v>290</v>
      </c>
      <c r="F4" s="115">
        <v>46062</v>
      </c>
      <c r="G4" s="115">
        <v>46076</v>
      </c>
      <c r="H4" s="116">
        <v>1</v>
      </c>
    </row>
    <row r="5" spans="2:8" x14ac:dyDescent="0.3">
      <c r="B5" s="109" t="s">
        <v>160</v>
      </c>
      <c r="C5" s="114" t="s">
        <v>214</v>
      </c>
      <c r="D5" s="114" t="s">
        <v>159</v>
      </c>
      <c r="E5" s="114" t="s">
        <v>290</v>
      </c>
      <c r="F5" s="115">
        <v>46077</v>
      </c>
      <c r="G5" s="117">
        <v>46081</v>
      </c>
      <c r="H5" s="116">
        <v>1</v>
      </c>
    </row>
    <row r="6" spans="2:8" ht="28.8" x14ac:dyDescent="0.3">
      <c r="B6" s="109" t="s">
        <v>161</v>
      </c>
      <c r="C6" s="114" t="s">
        <v>215</v>
      </c>
      <c r="D6" s="114" t="s">
        <v>226</v>
      </c>
      <c r="E6" s="114" t="s">
        <v>290</v>
      </c>
      <c r="F6" s="115">
        <v>46083</v>
      </c>
      <c r="G6" s="115">
        <v>46088</v>
      </c>
      <c r="H6" s="116">
        <v>1</v>
      </c>
    </row>
    <row r="7" spans="2:8" ht="28.8" x14ac:dyDescent="0.3">
      <c r="B7" s="109" t="s">
        <v>229</v>
      </c>
      <c r="C7" s="114" t="s">
        <v>227</v>
      </c>
      <c r="D7" s="114" t="s">
        <v>228</v>
      </c>
      <c r="E7" s="114" t="s">
        <v>290</v>
      </c>
      <c r="F7" s="115">
        <v>46090</v>
      </c>
      <c r="G7" s="115">
        <v>46101</v>
      </c>
      <c r="H7" s="116">
        <v>1</v>
      </c>
    </row>
    <row r="8" spans="2:8" x14ac:dyDescent="0.3">
      <c r="B8" s="101">
        <v>2</v>
      </c>
      <c r="C8" s="103" t="s">
        <v>231</v>
      </c>
      <c r="D8" s="103"/>
      <c r="E8" s="103"/>
      <c r="F8" s="103"/>
      <c r="G8" s="103"/>
      <c r="H8" s="103"/>
    </row>
    <row r="9" spans="2:8" ht="28.8" x14ac:dyDescent="0.3">
      <c r="B9" s="109" t="s">
        <v>162</v>
      </c>
      <c r="C9" s="114" t="s">
        <v>232</v>
      </c>
      <c r="D9" s="114" t="s">
        <v>232</v>
      </c>
      <c r="E9" s="114" t="s">
        <v>290</v>
      </c>
      <c r="F9" s="115">
        <v>46104</v>
      </c>
      <c r="G9" s="115">
        <v>46136</v>
      </c>
      <c r="H9" s="116">
        <v>1</v>
      </c>
    </row>
    <row r="10" spans="2:8" ht="28.8" x14ac:dyDescent="0.3">
      <c r="B10" s="109" t="s">
        <v>163</v>
      </c>
      <c r="C10" s="114" t="s">
        <v>233</v>
      </c>
      <c r="D10" s="114" t="s">
        <v>235</v>
      </c>
      <c r="E10" s="114" t="s">
        <v>290</v>
      </c>
      <c r="F10" s="115">
        <v>46139</v>
      </c>
      <c r="G10" s="115">
        <v>46164</v>
      </c>
      <c r="H10" s="116">
        <v>1</v>
      </c>
    </row>
    <row r="11" spans="2:8" x14ac:dyDescent="0.3">
      <c r="B11" s="109" t="s">
        <v>164</v>
      </c>
      <c r="C11" s="114" t="s">
        <v>234</v>
      </c>
      <c r="D11" s="114" t="s">
        <v>236</v>
      </c>
      <c r="E11" s="114" t="s">
        <v>290</v>
      </c>
      <c r="F11" s="115">
        <v>46167</v>
      </c>
      <c r="G11" s="115">
        <v>46178</v>
      </c>
      <c r="H11" s="116">
        <v>0</v>
      </c>
    </row>
    <row r="12" spans="2:8" ht="28.8" x14ac:dyDescent="0.3">
      <c r="B12" s="109" t="s">
        <v>165</v>
      </c>
      <c r="C12" s="114" t="s">
        <v>237</v>
      </c>
      <c r="D12" s="114" t="s">
        <v>238</v>
      </c>
      <c r="E12" s="114" t="s">
        <v>290</v>
      </c>
      <c r="F12" s="115">
        <v>46059</v>
      </c>
      <c r="G12" s="115">
        <v>46642</v>
      </c>
      <c r="H12" s="116">
        <v>0</v>
      </c>
    </row>
    <row r="13" spans="2:8" x14ac:dyDescent="0.3">
      <c r="B13" s="101">
        <v>3</v>
      </c>
      <c r="C13" s="102" t="s">
        <v>239</v>
      </c>
      <c r="D13" s="102"/>
      <c r="E13" s="102"/>
      <c r="F13" s="102"/>
      <c r="G13" s="102"/>
      <c r="H13" s="102"/>
    </row>
    <row r="14" spans="2:8" ht="28.8" x14ac:dyDescent="0.3">
      <c r="B14" s="109" t="s">
        <v>166</v>
      </c>
      <c r="C14" s="109" t="s">
        <v>240</v>
      </c>
      <c r="D14" s="114" t="s">
        <v>244</v>
      </c>
      <c r="E14" s="114" t="s">
        <v>284</v>
      </c>
      <c r="F14" s="115">
        <v>46181</v>
      </c>
      <c r="G14" s="115">
        <v>46199</v>
      </c>
      <c r="H14" s="116">
        <v>0</v>
      </c>
    </row>
    <row r="15" spans="2:8" ht="43.2" x14ac:dyDescent="0.3">
      <c r="B15" s="109" t="s">
        <v>167</v>
      </c>
      <c r="C15" s="114" t="s">
        <v>241</v>
      </c>
      <c r="D15" s="114" t="s">
        <v>245</v>
      </c>
      <c r="E15" s="114" t="s">
        <v>284</v>
      </c>
      <c r="F15" s="115">
        <v>46202</v>
      </c>
      <c r="G15" s="115">
        <v>46234</v>
      </c>
      <c r="H15" s="116">
        <v>0</v>
      </c>
    </row>
    <row r="16" spans="2:8" ht="28.8" x14ac:dyDescent="0.3">
      <c r="B16" s="109" t="s">
        <v>168</v>
      </c>
      <c r="C16" s="114" t="s">
        <v>242</v>
      </c>
      <c r="D16" s="114" t="s">
        <v>246</v>
      </c>
      <c r="E16" s="114" t="s">
        <v>284</v>
      </c>
      <c r="F16" s="115">
        <v>46237</v>
      </c>
      <c r="G16" s="115">
        <v>46269</v>
      </c>
      <c r="H16" s="116">
        <v>0</v>
      </c>
    </row>
    <row r="17" spans="2:10" ht="28.8" x14ac:dyDescent="0.3">
      <c r="B17" s="109" t="s">
        <v>169</v>
      </c>
      <c r="C17" s="114" t="s">
        <v>243</v>
      </c>
      <c r="D17" s="114" t="s">
        <v>247</v>
      </c>
      <c r="E17" s="114" t="s">
        <v>284</v>
      </c>
      <c r="F17" s="115">
        <v>46181</v>
      </c>
      <c r="G17" s="115">
        <v>46199</v>
      </c>
      <c r="H17" s="116">
        <v>0</v>
      </c>
    </row>
    <row r="18" spans="2:10" x14ac:dyDescent="0.3">
      <c r="B18" s="101">
        <v>4</v>
      </c>
      <c r="C18" s="102" t="s">
        <v>248</v>
      </c>
      <c r="D18" s="102"/>
      <c r="E18" s="102"/>
      <c r="F18" s="102"/>
      <c r="G18" s="102"/>
      <c r="H18" s="102"/>
    </row>
    <row r="19" spans="2:10" ht="28.8" x14ac:dyDescent="0.3">
      <c r="B19" s="109" t="s">
        <v>170</v>
      </c>
      <c r="C19" s="114" t="s">
        <v>249</v>
      </c>
      <c r="D19" s="114" t="s">
        <v>253</v>
      </c>
      <c r="E19" s="114" t="s">
        <v>284</v>
      </c>
      <c r="F19" s="115">
        <v>46272</v>
      </c>
      <c r="G19" s="115">
        <v>46290</v>
      </c>
      <c r="H19" s="116">
        <v>0</v>
      </c>
    </row>
    <row r="20" spans="2:10" ht="43.2" x14ac:dyDescent="0.3">
      <c r="B20" s="109" t="s">
        <v>171</v>
      </c>
      <c r="C20" s="114" t="s">
        <v>250</v>
      </c>
      <c r="D20" s="114" t="s">
        <v>254</v>
      </c>
      <c r="E20" s="114" t="s">
        <v>285</v>
      </c>
      <c r="F20" s="115">
        <v>46293</v>
      </c>
      <c r="G20" s="115">
        <v>46353</v>
      </c>
      <c r="H20" s="116">
        <v>0</v>
      </c>
    </row>
    <row r="21" spans="2:10" ht="43.2" x14ac:dyDescent="0.3">
      <c r="B21" s="109" t="s">
        <v>172</v>
      </c>
      <c r="C21" s="114" t="s">
        <v>251</v>
      </c>
      <c r="D21" s="114" t="s">
        <v>255</v>
      </c>
      <c r="E21" s="114" t="s">
        <v>285</v>
      </c>
      <c r="F21" s="115">
        <v>46356</v>
      </c>
      <c r="G21" s="115">
        <v>46465</v>
      </c>
      <c r="H21" s="116">
        <v>0</v>
      </c>
    </row>
    <row r="22" spans="2:10" ht="28.8" x14ac:dyDescent="0.3">
      <c r="B22" s="109" t="s">
        <v>173</v>
      </c>
      <c r="C22" s="114" t="s">
        <v>252</v>
      </c>
      <c r="D22" s="114" t="s">
        <v>256</v>
      </c>
      <c r="E22" s="114" t="s">
        <v>284</v>
      </c>
      <c r="F22" s="115">
        <v>46468</v>
      </c>
      <c r="G22" s="115">
        <v>46493</v>
      </c>
      <c r="H22" s="116">
        <v>0</v>
      </c>
    </row>
    <row r="23" spans="2:10" x14ac:dyDescent="0.3">
      <c r="B23" s="101">
        <v>5</v>
      </c>
      <c r="C23" s="102" t="s">
        <v>257</v>
      </c>
      <c r="D23" s="102"/>
      <c r="E23" s="102"/>
      <c r="F23" s="102"/>
      <c r="G23" s="102"/>
      <c r="H23" s="102"/>
    </row>
    <row r="24" spans="2:10" ht="43.2" x14ac:dyDescent="0.3">
      <c r="B24" s="109" t="s">
        <v>174</v>
      </c>
      <c r="C24" s="114" t="s">
        <v>258</v>
      </c>
      <c r="D24" s="114" t="s">
        <v>259</v>
      </c>
      <c r="E24" s="114" t="s">
        <v>285</v>
      </c>
      <c r="F24" s="115">
        <v>46496</v>
      </c>
      <c r="G24" s="115">
        <v>46514</v>
      </c>
      <c r="H24" s="116">
        <v>0</v>
      </c>
    </row>
    <row r="25" spans="2:10" ht="43.2" x14ac:dyDescent="0.3">
      <c r="B25" s="109" t="s">
        <v>175</v>
      </c>
      <c r="C25" s="114" t="s">
        <v>260</v>
      </c>
      <c r="D25" s="114" t="s">
        <v>261</v>
      </c>
      <c r="E25" s="114" t="s">
        <v>285</v>
      </c>
      <c r="F25" s="115">
        <v>46517</v>
      </c>
      <c r="G25" s="115">
        <v>46549</v>
      </c>
      <c r="H25" s="116">
        <v>0</v>
      </c>
    </row>
    <row r="26" spans="2:10" ht="43.2" x14ac:dyDescent="0.3">
      <c r="B26" s="109" t="s">
        <v>176</v>
      </c>
      <c r="C26" s="114" t="s">
        <v>262</v>
      </c>
      <c r="D26" s="114" t="s">
        <v>263</v>
      </c>
      <c r="E26" s="114" t="s">
        <v>285</v>
      </c>
      <c r="F26" s="115">
        <v>46552</v>
      </c>
      <c r="G26" s="117">
        <v>46570</v>
      </c>
      <c r="H26" s="116">
        <v>0</v>
      </c>
    </row>
    <row r="27" spans="2:10" ht="28.8" x14ac:dyDescent="0.3">
      <c r="B27" s="109" t="s">
        <v>177</v>
      </c>
      <c r="C27" s="114" t="s">
        <v>264</v>
      </c>
      <c r="D27" s="114" t="s">
        <v>265</v>
      </c>
      <c r="E27" s="114" t="s">
        <v>151</v>
      </c>
      <c r="F27" s="117">
        <v>46573</v>
      </c>
      <c r="G27" s="115">
        <v>46598</v>
      </c>
      <c r="H27" s="116">
        <v>0</v>
      </c>
    </row>
    <row r="28" spans="2:10" x14ac:dyDescent="0.3">
      <c r="B28" s="101">
        <v>6</v>
      </c>
      <c r="C28" s="102" t="s">
        <v>266</v>
      </c>
      <c r="D28" s="102"/>
      <c r="E28" s="102"/>
      <c r="F28" s="102"/>
      <c r="G28" s="102"/>
      <c r="H28" s="102"/>
      <c r="I28" s="60"/>
      <c r="J28" s="60"/>
    </row>
    <row r="29" spans="2:10" ht="43.2" x14ac:dyDescent="0.3">
      <c r="B29" s="109" t="s">
        <v>179</v>
      </c>
      <c r="C29" s="114" t="s">
        <v>267</v>
      </c>
      <c r="D29" s="114" t="s">
        <v>268</v>
      </c>
      <c r="E29" s="114" t="s">
        <v>285</v>
      </c>
      <c r="F29" s="117" t="s">
        <v>286</v>
      </c>
      <c r="G29" s="117">
        <v>46612</v>
      </c>
      <c r="H29" s="116">
        <v>0</v>
      </c>
    </row>
    <row r="30" spans="2:10" ht="43.2" x14ac:dyDescent="0.3">
      <c r="B30" s="109" t="s">
        <v>180</v>
      </c>
      <c r="C30" s="114" t="s">
        <v>269</v>
      </c>
      <c r="D30" s="114" t="s">
        <v>270</v>
      </c>
      <c r="E30" s="114" t="s">
        <v>285</v>
      </c>
      <c r="F30" s="117">
        <v>46615</v>
      </c>
      <c r="G30" s="117">
        <v>46626</v>
      </c>
      <c r="H30" s="116">
        <v>0</v>
      </c>
    </row>
    <row r="31" spans="2:10" ht="43.2" x14ac:dyDescent="0.3">
      <c r="B31" s="109" t="s">
        <v>181</v>
      </c>
      <c r="C31" s="114" t="s">
        <v>271</v>
      </c>
      <c r="D31" s="114" t="s">
        <v>272</v>
      </c>
      <c r="E31" s="114" t="s">
        <v>285</v>
      </c>
      <c r="F31" s="117">
        <v>46629</v>
      </c>
      <c r="G31" s="117">
        <v>46633</v>
      </c>
      <c r="H31" s="116">
        <v>0</v>
      </c>
    </row>
    <row r="32" spans="2:10" ht="28.8" x14ac:dyDescent="0.3">
      <c r="B32" s="109" t="s">
        <v>182</v>
      </c>
      <c r="C32" s="114" t="s">
        <v>273</v>
      </c>
      <c r="D32" s="114" t="s">
        <v>274</v>
      </c>
      <c r="E32" s="114" t="s">
        <v>284</v>
      </c>
      <c r="F32" s="117">
        <v>46636</v>
      </c>
      <c r="G32" s="117" t="s">
        <v>287</v>
      </c>
      <c r="H32" s="116">
        <v>0</v>
      </c>
    </row>
    <row r="33" spans="2:8" x14ac:dyDescent="0.3">
      <c r="B33" s="101">
        <v>7</v>
      </c>
      <c r="C33" s="103" t="s">
        <v>278</v>
      </c>
      <c r="D33" s="103"/>
      <c r="E33" s="103"/>
      <c r="F33" s="103"/>
      <c r="G33" s="103"/>
      <c r="H33" s="103"/>
    </row>
    <row r="34" spans="2:8" ht="43.2" x14ac:dyDescent="0.3">
      <c r="B34" s="109" t="s">
        <v>275</v>
      </c>
      <c r="C34" s="114" t="s">
        <v>279</v>
      </c>
      <c r="D34" s="114" t="s">
        <v>178</v>
      </c>
      <c r="E34" s="114" t="s">
        <v>284</v>
      </c>
      <c r="F34" s="114" t="s">
        <v>288</v>
      </c>
      <c r="G34" s="114" t="s">
        <v>288</v>
      </c>
      <c r="H34" s="116">
        <v>0</v>
      </c>
    </row>
    <row r="35" spans="2:8" ht="43.2" x14ac:dyDescent="0.3">
      <c r="B35" s="109" t="s">
        <v>276</v>
      </c>
      <c r="C35" s="114" t="s">
        <v>280</v>
      </c>
      <c r="D35" s="114" t="s">
        <v>282</v>
      </c>
      <c r="E35" s="114" t="s">
        <v>284</v>
      </c>
      <c r="F35" s="114" t="s">
        <v>288</v>
      </c>
      <c r="G35" s="114" t="s">
        <v>288</v>
      </c>
      <c r="H35" s="116">
        <v>0</v>
      </c>
    </row>
    <row r="36" spans="2:8" ht="43.2" x14ac:dyDescent="0.3">
      <c r="B36" s="109" t="s">
        <v>277</v>
      </c>
      <c r="C36" s="114" t="s">
        <v>281</v>
      </c>
      <c r="D36" s="114" t="s">
        <v>283</v>
      </c>
      <c r="E36" s="114" t="s">
        <v>284</v>
      </c>
      <c r="F36" s="114" t="s">
        <v>288</v>
      </c>
      <c r="G36" s="114" t="s">
        <v>288</v>
      </c>
      <c r="H36" s="116">
        <v>0</v>
      </c>
    </row>
  </sheetData>
  <mergeCells count="7">
    <mergeCell ref="C33:H33"/>
    <mergeCell ref="C28:H28"/>
    <mergeCell ref="C3:H3"/>
    <mergeCell ref="C8:H8"/>
    <mergeCell ref="C13:H13"/>
    <mergeCell ref="C18:H18"/>
    <mergeCell ref="C23:H23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27BF-F846-4A83-B2A7-7ADE0E307253}">
  <dimension ref="B1:H9"/>
  <sheetViews>
    <sheetView zoomScale="90" zoomScaleNormal="85" workbookViewId="0">
      <selection activeCell="J6" sqref="J6"/>
    </sheetView>
  </sheetViews>
  <sheetFormatPr baseColWidth="10" defaultRowHeight="14.4" x14ac:dyDescent="0.3"/>
  <cols>
    <col min="1" max="1" width="11.5546875" style="59"/>
    <col min="2" max="2" width="5.88671875" style="59" customWidth="1"/>
    <col min="3" max="3" width="26.6640625" style="59" customWidth="1"/>
    <col min="4" max="6" width="11.5546875" style="59"/>
    <col min="7" max="7" width="10.44140625" style="59" customWidth="1"/>
    <col min="8" max="8" width="19.21875" style="59" customWidth="1"/>
    <col min="9" max="16384" width="11.5546875" style="59"/>
  </cols>
  <sheetData>
    <row r="1" spans="2:8" x14ac:dyDescent="0.3">
      <c r="B1" s="94"/>
      <c r="C1" s="94"/>
      <c r="D1" s="94"/>
      <c r="E1" s="94"/>
      <c r="F1" s="94"/>
      <c r="G1" s="94"/>
      <c r="H1" s="94"/>
    </row>
    <row r="2" spans="2:8" ht="26.4" customHeight="1" x14ac:dyDescent="0.3">
      <c r="B2" s="118" t="s">
        <v>146</v>
      </c>
      <c r="C2" s="119"/>
      <c r="D2" s="119"/>
      <c r="E2" s="119"/>
      <c r="F2" s="119"/>
      <c r="G2" s="119"/>
      <c r="H2" s="120"/>
    </row>
    <row r="3" spans="2:8" x14ac:dyDescent="0.3">
      <c r="B3" s="121"/>
      <c r="C3" s="122"/>
      <c r="D3" s="122"/>
      <c r="E3" s="122"/>
      <c r="F3" s="122"/>
      <c r="G3" s="122"/>
      <c r="H3" s="123"/>
    </row>
    <row r="4" spans="2:8" x14ac:dyDescent="0.3">
      <c r="B4" s="101" t="s">
        <v>147</v>
      </c>
      <c r="C4" s="101" t="s">
        <v>148</v>
      </c>
      <c r="D4" s="101" t="s">
        <v>149</v>
      </c>
      <c r="E4" s="101" t="s">
        <v>289</v>
      </c>
      <c r="F4" s="101" t="s">
        <v>183</v>
      </c>
      <c r="G4" s="101" t="s">
        <v>184</v>
      </c>
      <c r="H4" s="101" t="s">
        <v>150</v>
      </c>
    </row>
    <row r="5" spans="2:8" x14ac:dyDescent="0.3">
      <c r="B5" s="127">
        <v>1</v>
      </c>
      <c r="C5" s="124" t="s">
        <v>290</v>
      </c>
      <c r="D5" s="109">
        <v>1</v>
      </c>
      <c r="E5" s="109">
        <v>693</v>
      </c>
      <c r="F5" s="109">
        <v>5</v>
      </c>
      <c r="G5" s="125">
        <v>10000</v>
      </c>
      <c r="H5" s="125">
        <f>G5*F5*E5</f>
        <v>34650000</v>
      </c>
    </row>
    <row r="6" spans="2:8" ht="28.8" x14ac:dyDescent="0.3">
      <c r="B6" s="127">
        <v>2</v>
      </c>
      <c r="C6" s="124" t="s">
        <v>285</v>
      </c>
      <c r="D6" s="109">
        <v>1</v>
      </c>
      <c r="E6" s="109">
        <v>272</v>
      </c>
      <c r="F6" s="109">
        <v>5</v>
      </c>
      <c r="G6" s="125">
        <v>12000</v>
      </c>
      <c r="H6" s="125">
        <f>G6*F6*E6</f>
        <v>16320000</v>
      </c>
    </row>
    <row r="7" spans="2:8" x14ac:dyDescent="0.3">
      <c r="B7" s="127">
        <v>3</v>
      </c>
      <c r="C7" s="124" t="s">
        <v>151</v>
      </c>
      <c r="D7" s="109">
        <v>1</v>
      </c>
      <c r="E7" s="109">
        <v>26</v>
      </c>
      <c r="F7" s="109">
        <v>4</v>
      </c>
      <c r="G7" s="125">
        <v>15000</v>
      </c>
      <c r="H7" s="125">
        <f>G7*F7*E7</f>
        <v>1560000</v>
      </c>
    </row>
    <row r="8" spans="2:8" x14ac:dyDescent="0.3">
      <c r="B8" s="127">
        <v>4</v>
      </c>
      <c r="C8" s="124" t="s">
        <v>284</v>
      </c>
      <c r="D8" s="109">
        <v>1</v>
      </c>
      <c r="E8" s="109">
        <v>156</v>
      </c>
      <c r="F8" s="109">
        <v>5</v>
      </c>
      <c r="G8" s="125">
        <v>11000</v>
      </c>
      <c r="H8" s="125">
        <f>G8*F8*E8</f>
        <v>8580000</v>
      </c>
    </row>
    <row r="9" spans="2:8" x14ac:dyDescent="0.3">
      <c r="G9" s="101" t="s">
        <v>185</v>
      </c>
      <c r="H9" s="126">
        <f>SUM(H5:H8)</f>
        <v>61110000</v>
      </c>
    </row>
  </sheetData>
  <mergeCells count="2">
    <mergeCell ref="B2:H3"/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7D497-9453-4EBE-AEB3-90CC69DB4F6D}">
  <dimension ref="B1:M14"/>
  <sheetViews>
    <sheetView topLeftCell="C1" zoomScale="98" zoomScaleNormal="98" workbookViewId="0">
      <selection activeCell="F13" sqref="F13"/>
    </sheetView>
  </sheetViews>
  <sheetFormatPr baseColWidth="10" defaultRowHeight="14.4" x14ac:dyDescent="0.3"/>
  <cols>
    <col min="1" max="1" width="11.5546875" style="59"/>
    <col min="2" max="2" width="8.88671875" style="59" customWidth="1"/>
    <col min="3" max="3" width="34.5546875" style="59" customWidth="1"/>
    <col min="4" max="4" width="36.21875" style="59" customWidth="1"/>
    <col min="5" max="5" width="15.77734375" style="59" customWidth="1"/>
    <col min="6" max="6" width="20.109375" style="59" customWidth="1"/>
    <col min="7" max="8" width="11.5546875" style="59"/>
    <col min="9" max="9" width="9" style="59" customWidth="1"/>
    <col min="10" max="10" width="29.88671875" style="59" customWidth="1"/>
    <col min="11" max="11" width="11.33203125" style="59" customWidth="1"/>
    <col min="12" max="16384" width="11.5546875" style="59"/>
  </cols>
  <sheetData>
    <row r="1" spans="2:13" ht="14.4" customHeight="1" x14ac:dyDescent="0.3">
      <c r="B1" s="128" t="s">
        <v>186</v>
      </c>
      <c r="C1" s="128"/>
      <c r="D1" s="128"/>
      <c r="E1" s="128"/>
      <c r="F1" s="128"/>
      <c r="G1" s="128"/>
    </row>
    <row r="2" spans="2:13" ht="14.4" customHeight="1" x14ac:dyDescent="0.3">
      <c r="B2" s="128"/>
      <c r="C2" s="128"/>
      <c r="D2" s="128"/>
      <c r="E2" s="128"/>
      <c r="F2" s="128"/>
      <c r="G2" s="128"/>
    </row>
    <row r="3" spans="2:13" ht="14.4" customHeight="1" x14ac:dyDescent="0.3">
      <c r="B3" s="128"/>
      <c r="C3" s="128"/>
      <c r="D3" s="128"/>
      <c r="E3" s="128"/>
      <c r="F3" s="128"/>
      <c r="G3" s="128"/>
    </row>
    <row r="4" spans="2:13" x14ac:dyDescent="0.3">
      <c r="B4" s="103" t="s">
        <v>187</v>
      </c>
      <c r="C4" s="103"/>
      <c r="D4" s="103"/>
      <c r="E4" s="103"/>
      <c r="F4" s="103"/>
      <c r="G4" s="103"/>
      <c r="I4" s="129" t="s">
        <v>194</v>
      </c>
      <c r="J4" s="129"/>
      <c r="K4" s="129"/>
      <c r="L4" s="129"/>
      <c r="M4" s="129"/>
    </row>
    <row r="5" spans="2:13" x14ac:dyDescent="0.3">
      <c r="B5" s="101" t="s">
        <v>149</v>
      </c>
      <c r="C5" s="101" t="s">
        <v>291</v>
      </c>
      <c r="D5" s="101" t="s">
        <v>191</v>
      </c>
      <c r="E5" s="101" t="s">
        <v>192</v>
      </c>
      <c r="F5" s="101" t="s">
        <v>193</v>
      </c>
      <c r="G5" s="101" t="s">
        <v>296</v>
      </c>
      <c r="I5" s="101" t="s">
        <v>149</v>
      </c>
      <c r="J5" s="101" t="s">
        <v>188</v>
      </c>
      <c r="K5" s="112" t="s">
        <v>300</v>
      </c>
      <c r="L5" s="113"/>
      <c r="M5" s="101" t="s">
        <v>193</v>
      </c>
    </row>
    <row r="6" spans="2:13" ht="28.8" x14ac:dyDescent="0.3">
      <c r="B6" s="109">
        <v>1</v>
      </c>
      <c r="C6" s="130" t="s">
        <v>292</v>
      </c>
      <c r="D6" s="131" t="s">
        <v>293</v>
      </c>
      <c r="E6" s="125">
        <v>2299900</v>
      </c>
      <c r="F6" s="125">
        <v>2299900</v>
      </c>
      <c r="G6" s="109" t="s">
        <v>317</v>
      </c>
      <c r="I6" s="109" t="s">
        <v>162</v>
      </c>
      <c r="J6" s="134" t="s">
        <v>314</v>
      </c>
      <c r="K6" s="135">
        <v>70900</v>
      </c>
      <c r="L6" s="136" t="s">
        <v>303</v>
      </c>
      <c r="M6" s="125">
        <f>K6*12*2</f>
        <v>1701600</v>
      </c>
    </row>
    <row r="7" spans="2:13" ht="43.2" x14ac:dyDescent="0.3">
      <c r="B7" s="109">
        <v>1</v>
      </c>
      <c r="C7" s="108" t="s">
        <v>294</v>
      </c>
      <c r="D7" s="114" t="s">
        <v>295</v>
      </c>
      <c r="E7" s="125">
        <v>830000</v>
      </c>
      <c r="F7" s="125">
        <v>830000</v>
      </c>
      <c r="G7" s="109" t="s">
        <v>317</v>
      </c>
      <c r="I7" s="109" t="s">
        <v>163</v>
      </c>
      <c r="J7" s="109" t="s">
        <v>195</v>
      </c>
      <c r="K7" s="137">
        <v>200000</v>
      </c>
      <c r="L7" s="125" t="s">
        <v>302</v>
      </c>
      <c r="M7" s="125">
        <f t="shared" ref="M7:M13" si="0">K7*12*2</f>
        <v>4800000</v>
      </c>
    </row>
    <row r="8" spans="2:13" ht="28.8" x14ac:dyDescent="0.3">
      <c r="B8" s="102" t="s">
        <v>189</v>
      </c>
      <c r="C8" s="102"/>
      <c r="D8" s="102"/>
      <c r="E8" s="102"/>
      <c r="F8" s="126">
        <f>SUM(F6:F7)</f>
        <v>3129900</v>
      </c>
      <c r="I8" s="109" t="s">
        <v>164</v>
      </c>
      <c r="J8" s="134" t="s">
        <v>315</v>
      </c>
      <c r="K8" s="137">
        <v>12500</v>
      </c>
      <c r="L8" s="136" t="s">
        <v>303</v>
      </c>
      <c r="M8" s="125">
        <f t="shared" si="0"/>
        <v>300000</v>
      </c>
    </row>
    <row r="9" spans="2:13" ht="28.8" x14ac:dyDescent="0.3">
      <c r="B9" s="61"/>
      <c r="C9" s="61"/>
      <c r="D9" s="61"/>
      <c r="E9" s="61"/>
      <c r="F9" s="61"/>
      <c r="I9" s="109" t="s">
        <v>165</v>
      </c>
      <c r="J9" s="134" t="s">
        <v>316</v>
      </c>
      <c r="K9" s="138">
        <v>145833</v>
      </c>
      <c r="L9" s="136" t="s">
        <v>303</v>
      </c>
      <c r="M9" s="125">
        <f t="shared" si="0"/>
        <v>3499992</v>
      </c>
    </row>
    <row r="10" spans="2:13" ht="28.8" x14ac:dyDescent="0.3">
      <c r="C10" s="132" t="s">
        <v>305</v>
      </c>
      <c r="D10" s="133">
        <f>SUM(F8+M14)</f>
        <v>13431492</v>
      </c>
      <c r="I10" s="109" t="s">
        <v>196</v>
      </c>
      <c r="J10" s="139" t="s">
        <v>301</v>
      </c>
      <c r="K10" s="140">
        <v>0</v>
      </c>
      <c r="L10" s="136" t="s">
        <v>303</v>
      </c>
      <c r="M10" s="125">
        <f t="shared" si="0"/>
        <v>0</v>
      </c>
    </row>
    <row r="11" spans="2:13" ht="27.6" x14ac:dyDescent="0.3">
      <c r="I11" s="109" t="s">
        <v>197</v>
      </c>
      <c r="J11" s="134" t="s">
        <v>297</v>
      </c>
      <c r="K11" s="140">
        <v>0</v>
      </c>
      <c r="L11" s="125" t="s">
        <v>302</v>
      </c>
      <c r="M11" s="125">
        <f t="shared" si="0"/>
        <v>0</v>
      </c>
    </row>
    <row r="12" spans="2:13" x14ac:dyDescent="0.3">
      <c r="I12" s="109" t="s">
        <v>198</v>
      </c>
      <c r="J12" s="134" t="s">
        <v>298</v>
      </c>
      <c r="K12" s="141">
        <v>0</v>
      </c>
      <c r="L12" s="136" t="s">
        <v>304</v>
      </c>
      <c r="M12" s="125">
        <f t="shared" si="0"/>
        <v>0</v>
      </c>
    </row>
    <row r="13" spans="2:13" ht="28.8" x14ac:dyDescent="0.3">
      <c r="I13" s="109" t="s">
        <v>199</v>
      </c>
      <c r="J13" s="134" t="s">
        <v>299</v>
      </c>
      <c r="K13" s="137">
        <v>99840</v>
      </c>
      <c r="L13" s="136" t="s">
        <v>303</v>
      </c>
      <c r="M13" s="125">
        <f t="shared" si="0"/>
        <v>2396160</v>
      </c>
    </row>
    <row r="14" spans="2:13" x14ac:dyDescent="0.3">
      <c r="I14" s="142" t="s">
        <v>200</v>
      </c>
      <c r="J14" s="143"/>
      <c r="K14" s="143"/>
      <c r="L14" s="144"/>
      <c r="M14" s="145">
        <f>SUM(M6:M12)</f>
        <v>10301592</v>
      </c>
    </row>
  </sheetData>
  <mergeCells count="6">
    <mergeCell ref="B1:G3"/>
    <mergeCell ref="K5:L5"/>
    <mergeCell ref="I4:M4"/>
    <mergeCell ref="I14:L14"/>
    <mergeCell ref="B8:E8"/>
    <mergeCell ref="B4:G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BC7BE-013D-41B9-AF77-F734413586FD}">
  <dimension ref="B2:G11"/>
  <sheetViews>
    <sheetView topLeftCell="B1" workbookViewId="0">
      <selection activeCell="H11" sqref="H11"/>
    </sheetView>
  </sheetViews>
  <sheetFormatPr baseColWidth="10" defaultRowHeight="14.4" x14ac:dyDescent="0.3"/>
  <cols>
    <col min="2" max="2" width="10.44140625" customWidth="1"/>
    <col min="3" max="3" width="34.44140625" customWidth="1"/>
    <col min="4" max="4" width="4.44140625" customWidth="1"/>
    <col min="5" max="5" width="7.88671875" customWidth="1"/>
    <col min="6" max="6" width="14.6640625" customWidth="1"/>
    <col min="7" max="7" width="13.109375" customWidth="1"/>
  </cols>
  <sheetData>
    <row r="2" spans="2:7" x14ac:dyDescent="0.3">
      <c r="B2" s="128" t="s">
        <v>306</v>
      </c>
      <c r="C2" s="128"/>
      <c r="D2" s="128"/>
      <c r="E2" s="128"/>
      <c r="F2" s="128"/>
      <c r="G2" s="128"/>
    </row>
    <row r="3" spans="2:7" x14ac:dyDescent="0.3">
      <c r="B3" s="128"/>
      <c r="C3" s="128"/>
      <c r="D3" s="128"/>
      <c r="E3" s="128"/>
      <c r="F3" s="128"/>
      <c r="G3" s="128"/>
    </row>
    <row r="4" spans="2:7" x14ac:dyDescent="0.3">
      <c r="B4" s="128"/>
      <c r="C4" s="128"/>
      <c r="D4" s="128"/>
      <c r="E4" s="128"/>
      <c r="F4" s="128"/>
      <c r="G4" s="128"/>
    </row>
    <row r="5" spans="2:7" x14ac:dyDescent="0.3">
      <c r="B5" s="101" t="s">
        <v>147</v>
      </c>
      <c r="C5" s="110" t="s">
        <v>188</v>
      </c>
      <c r="D5" s="146" t="s">
        <v>190</v>
      </c>
      <c r="E5" s="147"/>
      <c r="F5" s="110" t="s">
        <v>311</v>
      </c>
      <c r="G5" s="110" t="s">
        <v>312</v>
      </c>
    </row>
    <row r="6" spans="2:7" x14ac:dyDescent="0.3">
      <c r="B6" s="109">
        <v>1</v>
      </c>
      <c r="C6" s="108" t="s">
        <v>307</v>
      </c>
      <c r="D6" s="149">
        <v>24</v>
      </c>
      <c r="E6" s="150" t="s">
        <v>313</v>
      </c>
      <c r="F6" s="125">
        <v>10000</v>
      </c>
      <c r="G6" s="125">
        <f>D6*F6</f>
        <v>240000</v>
      </c>
    </row>
    <row r="7" spans="2:7" x14ac:dyDescent="0.3">
      <c r="B7" s="109">
        <v>2</v>
      </c>
      <c r="C7" s="108" t="s">
        <v>308</v>
      </c>
      <c r="D7" s="149">
        <v>24</v>
      </c>
      <c r="E7" s="150" t="s">
        <v>313</v>
      </c>
      <c r="F7" s="125">
        <v>80000</v>
      </c>
      <c r="G7" s="125">
        <f t="shared" ref="G7:G10" si="0">D7*F7</f>
        <v>1920000</v>
      </c>
    </row>
    <row r="8" spans="2:7" x14ac:dyDescent="0.3">
      <c r="B8" s="109">
        <v>3</v>
      </c>
      <c r="C8" s="108" t="s">
        <v>310</v>
      </c>
      <c r="D8" s="149">
        <v>24</v>
      </c>
      <c r="E8" s="150" t="s">
        <v>313</v>
      </c>
      <c r="F8" s="125">
        <v>200000</v>
      </c>
      <c r="G8" s="125">
        <f t="shared" si="0"/>
        <v>4800000</v>
      </c>
    </row>
    <row r="9" spans="2:7" x14ac:dyDescent="0.3">
      <c r="B9" s="109">
        <v>4</v>
      </c>
      <c r="C9" s="108" t="s">
        <v>309</v>
      </c>
      <c r="D9" s="149">
        <v>24</v>
      </c>
      <c r="E9" s="150" t="s">
        <v>313</v>
      </c>
      <c r="F9" s="125">
        <v>80000</v>
      </c>
      <c r="G9" s="125">
        <f t="shared" si="0"/>
        <v>1920000</v>
      </c>
    </row>
    <row r="10" spans="2:7" x14ac:dyDescent="0.3">
      <c r="B10" s="109">
        <v>5</v>
      </c>
      <c r="C10" s="108" t="s">
        <v>318</v>
      </c>
      <c r="D10" s="149">
        <v>24</v>
      </c>
      <c r="E10" s="150" t="s">
        <v>313</v>
      </c>
      <c r="F10" s="125">
        <v>770000</v>
      </c>
      <c r="G10" s="125">
        <f t="shared" si="0"/>
        <v>18480000</v>
      </c>
    </row>
    <row r="11" spans="2:7" x14ac:dyDescent="0.3">
      <c r="B11" s="148" t="s">
        <v>201</v>
      </c>
      <c r="C11" s="148"/>
      <c r="D11" s="148"/>
      <c r="E11" s="148"/>
      <c r="F11" s="148"/>
      <c r="G11" s="126">
        <f>SUM(G6:G10)</f>
        <v>27360000</v>
      </c>
    </row>
  </sheetData>
  <mergeCells count="3">
    <mergeCell ref="B2:G4"/>
    <mergeCell ref="B11:F11"/>
    <mergeCell ref="D5:E5"/>
  </mergeCells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F631D-AEB2-47F0-AAD7-4D8502D7BB02}">
  <dimension ref="A1:D10"/>
  <sheetViews>
    <sheetView tabSelected="1" workbookViewId="0">
      <selection activeCell="E11" sqref="E11"/>
    </sheetView>
  </sheetViews>
  <sheetFormatPr baseColWidth="10" defaultRowHeight="14.4" x14ac:dyDescent="0.3"/>
  <cols>
    <col min="1" max="1" width="25.6640625" style="59" customWidth="1"/>
    <col min="2" max="2" width="15.77734375" style="59" customWidth="1"/>
    <col min="3" max="16384" width="11.5546875" style="59"/>
  </cols>
  <sheetData>
    <row r="1" spans="1:4" ht="15" customHeight="1" x14ac:dyDescent="0.3">
      <c r="A1" s="99" t="s">
        <v>202</v>
      </c>
      <c r="B1" s="99"/>
      <c r="C1" s="99"/>
    </row>
    <row r="2" spans="1:4" x14ac:dyDescent="0.3">
      <c r="A2" s="99"/>
      <c r="B2" s="99"/>
      <c r="C2" s="99"/>
    </row>
    <row r="3" spans="1:4" x14ac:dyDescent="0.3">
      <c r="A3" s="101" t="s">
        <v>203</v>
      </c>
      <c r="B3" s="101" t="s">
        <v>204</v>
      </c>
      <c r="C3" s="101" t="s">
        <v>205</v>
      </c>
    </row>
    <row r="4" spans="1:4" x14ac:dyDescent="0.3">
      <c r="A4" s="101" t="s">
        <v>206</v>
      </c>
      <c r="B4" s="125">
        <f>SUM(B5:B7)</f>
        <v>101901492</v>
      </c>
      <c r="C4" s="151">
        <f>B4/$B$10</f>
        <v>0.7407407407407407</v>
      </c>
    </row>
    <row r="5" spans="1:4" x14ac:dyDescent="0.3">
      <c r="A5" s="101" t="s">
        <v>207</v>
      </c>
      <c r="B5" s="152">
        <v>61110000</v>
      </c>
      <c r="C5" s="151">
        <f>B5/$B$10</f>
        <v>0.44421986153712706</v>
      </c>
      <c r="D5" s="95"/>
    </row>
    <row r="6" spans="1:4" x14ac:dyDescent="0.3">
      <c r="A6" s="101" t="s">
        <v>208</v>
      </c>
      <c r="B6" s="152">
        <v>13431492</v>
      </c>
      <c r="C6" s="151">
        <f t="shared" ref="C5:C10" si="0">B6/$B$10</f>
        <v>9.7635992742219443E-2</v>
      </c>
    </row>
    <row r="7" spans="1:4" x14ac:dyDescent="0.3">
      <c r="A7" s="101" t="s">
        <v>209</v>
      </c>
      <c r="B7" s="153">
        <v>27360000</v>
      </c>
      <c r="C7" s="151">
        <f t="shared" si="0"/>
        <v>0.19888488646139416</v>
      </c>
    </row>
    <row r="8" spans="1:4" x14ac:dyDescent="0.3">
      <c r="A8" s="101" t="s">
        <v>210</v>
      </c>
      <c r="B8" s="152">
        <f>B4*20%</f>
        <v>20380298.400000002</v>
      </c>
      <c r="C8" s="151">
        <f>B8/$B$10</f>
        <v>0.14814814814814814</v>
      </c>
    </row>
    <row r="9" spans="1:4" x14ac:dyDescent="0.3">
      <c r="A9" s="101" t="s">
        <v>211</v>
      </c>
      <c r="B9" s="152">
        <f>B4*15%</f>
        <v>15285223.799999999</v>
      </c>
      <c r="C9" s="151">
        <f t="shared" si="0"/>
        <v>0.11111111111111109</v>
      </c>
    </row>
    <row r="10" spans="1:4" x14ac:dyDescent="0.3">
      <c r="A10" s="101" t="s">
        <v>212</v>
      </c>
      <c r="B10" s="126">
        <f>B4+B8+B9</f>
        <v>137567014.20000002</v>
      </c>
      <c r="C10" s="154">
        <f t="shared" si="0"/>
        <v>1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Cronograma</vt:lpstr>
      <vt:lpstr>Cronograma de Actividades</vt:lpstr>
      <vt:lpstr>Requisistos</vt:lpstr>
      <vt:lpstr>Planeacion</vt:lpstr>
      <vt:lpstr>Recursos Humanos</vt:lpstr>
      <vt:lpstr>Recursos Tecnologicos </vt:lpstr>
      <vt:lpstr>Gastos Administrativos</vt:lpstr>
      <vt:lpstr>Estimado total</vt:lpstr>
      <vt:lpstr>'Cronograma de Actividades'!Área_de_impresión</vt:lpstr>
      <vt:lpstr>'Cronograma de Actividades'!prevWBS</vt:lpstr>
      <vt:lpstr>'Cronograma de Actividades'!Títulos_a_imprimir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Daiver .</dc:creator>
  <cp:lastModifiedBy>Daiver .</cp:lastModifiedBy>
  <cp:lastPrinted>2026-08-17T00:58:28Z</cp:lastPrinted>
  <dcterms:created xsi:type="dcterms:W3CDTF">2026-08-13T05:38:27Z</dcterms:created>
  <dcterms:modified xsi:type="dcterms:W3CDTF">2026-08-21T04:58:56Z</dcterms:modified>
</cp:coreProperties>
</file>